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rvi\Desktop\localsend\other\"/>
    </mc:Choice>
  </mc:AlternateContent>
  <xr:revisionPtr revIDLastSave="0" documentId="13_ncr:1_{BAD5709A-DAAD-4E80-9EB0-56F8A0AD56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6" i="1" l="1"/>
  <c r="H7" i="1"/>
  <c r="C7" i="1"/>
  <c r="B4" i="1"/>
  <c r="E3" i="1"/>
  <c r="H1" i="1"/>
  <c r="B7" i="1"/>
  <c r="E1" i="1"/>
  <c r="D347" i="1" s="1"/>
  <c r="F347" i="1" s="1"/>
  <c r="D7" i="1" l="1"/>
  <c r="F7" i="1" s="1"/>
  <c r="D29" i="1"/>
  <c r="F29" i="1" s="1"/>
  <c r="D186" i="1"/>
  <c r="F186" i="1" s="1"/>
  <c r="D23" i="1"/>
  <c r="F23" i="1" s="1"/>
  <c r="D82" i="1"/>
  <c r="F82" i="1" s="1"/>
  <c r="D178" i="1"/>
  <c r="F178" i="1" s="1"/>
  <c r="D9" i="1"/>
  <c r="F9" i="1" s="1"/>
  <c r="D63" i="1"/>
  <c r="F63" i="1" s="1"/>
  <c r="D95" i="1"/>
  <c r="F95" i="1" s="1"/>
  <c r="D11" i="1"/>
  <c r="F11" i="1" s="1"/>
  <c r="D64" i="1"/>
  <c r="F64" i="1" s="1"/>
  <c r="D99" i="1"/>
  <c r="F99" i="1" s="1"/>
  <c r="D130" i="1"/>
  <c r="F130" i="1" s="1"/>
  <c r="D203" i="1"/>
  <c r="F203" i="1" s="1"/>
  <c r="D13" i="1"/>
  <c r="F13" i="1" s="1"/>
  <c r="D33" i="1"/>
  <c r="F33" i="1" s="1"/>
  <c r="D66" i="1"/>
  <c r="F66" i="1" s="1"/>
  <c r="D108" i="1"/>
  <c r="F108" i="1" s="1"/>
  <c r="D138" i="1"/>
  <c r="F138" i="1" s="1"/>
  <c r="D210" i="1"/>
  <c r="F210" i="1" s="1"/>
  <c r="D230" i="1"/>
  <c r="F230" i="1" s="1"/>
  <c r="D37" i="1"/>
  <c r="F37" i="1" s="1"/>
  <c r="D146" i="1"/>
  <c r="F146" i="1" s="1"/>
  <c r="D17" i="1"/>
  <c r="F17" i="1" s="1"/>
  <c r="D41" i="1"/>
  <c r="F41" i="1" s="1"/>
  <c r="D76" i="1"/>
  <c r="F76" i="1" s="1"/>
  <c r="D112" i="1"/>
  <c r="F112" i="1" s="1"/>
  <c r="D154" i="1"/>
  <c r="F154" i="1" s="1"/>
  <c r="D234" i="1"/>
  <c r="F234" i="1" s="1"/>
  <c r="D56" i="1"/>
  <c r="F56" i="1" s="1"/>
  <c r="D25" i="1"/>
  <c r="F25" i="1" s="1"/>
  <c r="D122" i="1"/>
  <c r="F122" i="1" s="1"/>
  <c r="D19" i="1"/>
  <c r="F19" i="1" s="1"/>
  <c r="D45" i="1"/>
  <c r="F45" i="1" s="1"/>
  <c r="D78" i="1"/>
  <c r="F78" i="1" s="1"/>
  <c r="D162" i="1"/>
  <c r="F162" i="1" s="1"/>
  <c r="D266" i="1"/>
  <c r="F266" i="1" s="1"/>
  <c r="D15" i="1"/>
  <c r="F15" i="1" s="1"/>
  <c r="D67" i="1"/>
  <c r="F67" i="1" s="1"/>
  <c r="D110" i="1"/>
  <c r="F110" i="1" s="1"/>
  <c r="D21" i="1"/>
  <c r="F21" i="1" s="1"/>
  <c r="D49" i="1"/>
  <c r="F49" i="1" s="1"/>
  <c r="D80" i="1"/>
  <c r="F80" i="1" s="1"/>
  <c r="D114" i="1"/>
  <c r="F114" i="1" s="1"/>
  <c r="D170" i="1"/>
  <c r="F170" i="1" s="1"/>
  <c r="D307" i="1"/>
  <c r="F307" i="1" s="1"/>
  <c r="D48" i="1"/>
  <c r="F48" i="1" s="1"/>
  <c r="D51" i="1"/>
  <c r="F51" i="1" s="1"/>
  <c r="D54" i="1"/>
  <c r="F54" i="1" s="1"/>
  <c r="D57" i="1"/>
  <c r="F57" i="1" s="1"/>
  <c r="D59" i="1"/>
  <c r="F59" i="1" s="1"/>
  <c r="D72" i="1"/>
  <c r="F72" i="1" s="1"/>
  <c r="D74" i="1"/>
  <c r="F74" i="1" s="1"/>
  <c r="D91" i="1"/>
  <c r="F91" i="1" s="1"/>
  <c r="D104" i="1"/>
  <c r="F104" i="1" s="1"/>
  <c r="D106" i="1"/>
  <c r="F106" i="1" s="1"/>
  <c r="D226" i="1"/>
  <c r="F226" i="1" s="1"/>
  <c r="D364" i="1"/>
  <c r="F364" i="1" s="1"/>
  <c r="D8" i="1"/>
  <c r="F8" i="1" s="1"/>
  <c r="D12" i="1"/>
  <c r="F12" i="1" s="1"/>
  <c r="D16" i="1"/>
  <c r="F16" i="1" s="1"/>
  <c r="D20" i="1"/>
  <c r="F20" i="1" s="1"/>
  <c r="D24" i="1"/>
  <c r="F24" i="1" s="1"/>
  <c r="D28" i="1"/>
  <c r="F28" i="1" s="1"/>
  <c r="D32" i="1"/>
  <c r="F32" i="1" s="1"/>
  <c r="D36" i="1"/>
  <c r="F36" i="1" s="1"/>
  <c r="D40" i="1"/>
  <c r="F40" i="1" s="1"/>
  <c r="D44" i="1"/>
  <c r="F44" i="1" s="1"/>
  <c r="D68" i="1"/>
  <c r="F68" i="1" s="1"/>
  <c r="D70" i="1"/>
  <c r="F70" i="1" s="1"/>
  <c r="D87" i="1"/>
  <c r="F87" i="1" s="1"/>
  <c r="D100" i="1"/>
  <c r="F100" i="1" s="1"/>
  <c r="D102" i="1"/>
  <c r="F102" i="1" s="1"/>
  <c r="D120" i="1"/>
  <c r="F120" i="1" s="1"/>
  <c r="D128" i="1"/>
  <c r="F128" i="1" s="1"/>
  <c r="D136" i="1"/>
  <c r="F136" i="1" s="1"/>
  <c r="D144" i="1"/>
  <c r="F144" i="1" s="1"/>
  <c r="D152" i="1"/>
  <c r="F152" i="1" s="1"/>
  <c r="D160" i="1"/>
  <c r="F160" i="1" s="1"/>
  <c r="D168" i="1"/>
  <c r="F168" i="1" s="1"/>
  <c r="D176" i="1"/>
  <c r="F176" i="1" s="1"/>
  <c r="D184" i="1"/>
  <c r="F184" i="1" s="1"/>
  <c r="D211" i="1"/>
  <c r="F211" i="1" s="1"/>
  <c r="D227" i="1"/>
  <c r="F227" i="1" s="1"/>
  <c r="D258" i="1"/>
  <c r="F258" i="1" s="1"/>
  <c r="D83" i="1"/>
  <c r="F83" i="1" s="1"/>
  <c r="D96" i="1"/>
  <c r="F96" i="1" s="1"/>
  <c r="D98" i="1"/>
  <c r="F98" i="1" s="1"/>
  <c r="D115" i="1"/>
  <c r="F115" i="1" s="1"/>
  <c r="D223" i="1"/>
  <c r="F223" i="1" s="1"/>
  <c r="D339" i="1"/>
  <c r="F339" i="1" s="1"/>
  <c r="D27" i="1"/>
  <c r="F27" i="1" s="1"/>
  <c r="D79" i="1"/>
  <c r="F79" i="1" s="1"/>
  <c r="D92" i="1"/>
  <c r="F92" i="1" s="1"/>
  <c r="D126" i="1"/>
  <c r="F126" i="1" s="1"/>
  <c r="D158" i="1"/>
  <c r="F158" i="1" s="1"/>
  <c r="D174" i="1"/>
  <c r="F174" i="1" s="1"/>
  <c r="D182" i="1"/>
  <c r="F182" i="1" s="1"/>
  <c r="D194" i="1"/>
  <c r="F194" i="1" s="1"/>
  <c r="D250" i="1"/>
  <c r="F250" i="1" s="1"/>
  <c r="D316" i="1"/>
  <c r="F316" i="1" s="1"/>
  <c r="D340" i="1"/>
  <c r="F340" i="1" s="1"/>
  <c r="D31" i="1"/>
  <c r="F31" i="1" s="1"/>
  <c r="D35" i="1"/>
  <c r="F35" i="1" s="1"/>
  <c r="D39" i="1"/>
  <c r="F39" i="1" s="1"/>
  <c r="D43" i="1"/>
  <c r="F43" i="1" s="1"/>
  <c r="D47" i="1"/>
  <c r="F47" i="1" s="1"/>
  <c r="D50" i="1"/>
  <c r="F50" i="1" s="1"/>
  <c r="D53" i="1"/>
  <c r="F53" i="1" s="1"/>
  <c r="D60" i="1"/>
  <c r="F60" i="1" s="1"/>
  <c r="D62" i="1"/>
  <c r="F62" i="1" s="1"/>
  <c r="D94" i="1"/>
  <c r="F94" i="1" s="1"/>
  <c r="D111" i="1"/>
  <c r="F111" i="1" s="1"/>
  <c r="D118" i="1"/>
  <c r="F118" i="1" s="1"/>
  <c r="D134" i="1"/>
  <c r="F134" i="1" s="1"/>
  <c r="D142" i="1"/>
  <c r="F142" i="1" s="1"/>
  <c r="D150" i="1"/>
  <c r="F150" i="1" s="1"/>
  <c r="D166" i="1"/>
  <c r="F166" i="1" s="1"/>
  <c r="D58" i="1"/>
  <c r="F58" i="1" s="1"/>
  <c r="D75" i="1"/>
  <c r="F75" i="1" s="1"/>
  <c r="D88" i="1"/>
  <c r="F88" i="1" s="1"/>
  <c r="D90" i="1"/>
  <c r="F90" i="1" s="1"/>
  <c r="D107" i="1"/>
  <c r="F107" i="1" s="1"/>
  <c r="D320" i="1"/>
  <c r="F320" i="1" s="1"/>
  <c r="D365" i="1"/>
  <c r="F365" i="1" s="1"/>
  <c r="D361" i="1"/>
  <c r="F361" i="1" s="1"/>
  <c r="D357" i="1"/>
  <c r="F357" i="1" s="1"/>
  <c r="D353" i="1"/>
  <c r="F353" i="1" s="1"/>
  <c r="D349" i="1"/>
  <c r="F349" i="1" s="1"/>
  <c r="D345" i="1"/>
  <c r="F345" i="1" s="1"/>
  <c r="D341" i="1"/>
  <c r="F341" i="1" s="1"/>
  <c r="D337" i="1"/>
  <c r="F337" i="1" s="1"/>
  <c r="D333" i="1"/>
  <c r="F333" i="1" s="1"/>
  <c r="D329" i="1"/>
  <c r="F329" i="1" s="1"/>
  <c r="D325" i="1"/>
  <c r="F325" i="1" s="1"/>
  <c r="D359" i="1"/>
  <c r="F359" i="1" s="1"/>
  <c r="D346" i="1"/>
  <c r="F346" i="1" s="1"/>
  <c r="D344" i="1"/>
  <c r="F344" i="1" s="1"/>
  <c r="D327" i="1"/>
  <c r="F327" i="1" s="1"/>
  <c r="D321" i="1"/>
  <c r="F321" i="1" s="1"/>
  <c r="D317" i="1"/>
  <c r="F317" i="1" s="1"/>
  <c r="D313" i="1"/>
  <c r="F313" i="1" s="1"/>
  <c r="D309" i="1"/>
  <c r="F309" i="1" s="1"/>
  <c r="D305" i="1"/>
  <c r="F305" i="1" s="1"/>
  <c r="D301" i="1"/>
  <c r="F301" i="1" s="1"/>
  <c r="D297" i="1"/>
  <c r="F297" i="1" s="1"/>
  <c r="D293" i="1"/>
  <c r="F293" i="1" s="1"/>
  <c r="D289" i="1"/>
  <c r="F289" i="1" s="1"/>
  <c r="D285" i="1"/>
  <c r="F285" i="1" s="1"/>
  <c r="D281" i="1"/>
  <c r="F281" i="1" s="1"/>
  <c r="D363" i="1"/>
  <c r="F363" i="1" s="1"/>
  <c r="D350" i="1"/>
  <c r="F350" i="1" s="1"/>
  <c r="D348" i="1"/>
  <c r="F348" i="1" s="1"/>
  <c r="D331" i="1"/>
  <c r="F331" i="1" s="1"/>
  <c r="D354" i="1"/>
  <c r="F354" i="1" s="1"/>
  <c r="D352" i="1"/>
  <c r="F352" i="1" s="1"/>
  <c r="D335" i="1"/>
  <c r="F335" i="1" s="1"/>
  <c r="D318" i="1"/>
  <c r="F318" i="1" s="1"/>
  <c r="D314" i="1"/>
  <c r="F314" i="1" s="1"/>
  <c r="D310" i="1"/>
  <c r="F310" i="1" s="1"/>
  <c r="D306" i="1"/>
  <c r="F306" i="1" s="1"/>
  <c r="D302" i="1"/>
  <c r="F302" i="1" s="1"/>
  <c r="D298" i="1"/>
  <c r="F298" i="1" s="1"/>
  <c r="D294" i="1"/>
  <c r="F294" i="1" s="1"/>
  <c r="D290" i="1"/>
  <c r="F290" i="1" s="1"/>
  <c r="D286" i="1"/>
  <c r="F286" i="1" s="1"/>
  <c r="D282" i="1"/>
  <c r="F282" i="1" s="1"/>
  <c r="D358" i="1"/>
  <c r="F358" i="1" s="1"/>
  <c r="D356" i="1"/>
  <c r="F356" i="1" s="1"/>
  <c r="D362" i="1"/>
  <c r="F362" i="1" s="1"/>
  <c r="D338" i="1"/>
  <c r="F338" i="1" s="1"/>
  <c r="D324" i="1"/>
  <c r="F324" i="1" s="1"/>
  <c r="D319" i="1"/>
  <c r="F319" i="1" s="1"/>
  <c r="D300" i="1"/>
  <c r="F300" i="1" s="1"/>
  <c r="D287" i="1"/>
  <c r="F287" i="1" s="1"/>
  <c r="D280" i="1"/>
  <c r="F280" i="1" s="1"/>
  <c r="D276" i="1"/>
  <c r="F276" i="1" s="1"/>
  <c r="D272" i="1"/>
  <c r="F272" i="1" s="1"/>
  <c r="D268" i="1"/>
  <c r="F268" i="1" s="1"/>
  <c r="D264" i="1"/>
  <c r="F264" i="1" s="1"/>
  <c r="D260" i="1"/>
  <c r="F260" i="1" s="1"/>
  <c r="D256" i="1"/>
  <c r="F256" i="1" s="1"/>
  <c r="D252" i="1"/>
  <c r="F252" i="1" s="1"/>
  <c r="D248" i="1"/>
  <c r="F248" i="1" s="1"/>
  <c r="D244" i="1"/>
  <c r="F244" i="1" s="1"/>
  <c r="D240" i="1"/>
  <c r="F240" i="1" s="1"/>
  <c r="D236" i="1"/>
  <c r="F236" i="1" s="1"/>
  <c r="D232" i="1"/>
  <c r="F232" i="1" s="1"/>
  <c r="D228" i="1"/>
  <c r="F228" i="1" s="1"/>
  <c r="D224" i="1"/>
  <c r="F224" i="1" s="1"/>
  <c r="D220" i="1"/>
  <c r="F220" i="1" s="1"/>
  <c r="D216" i="1"/>
  <c r="F216" i="1" s="1"/>
  <c r="D212" i="1"/>
  <c r="F212" i="1" s="1"/>
  <c r="D208" i="1"/>
  <c r="F208" i="1" s="1"/>
  <c r="D204" i="1"/>
  <c r="F204" i="1" s="1"/>
  <c r="D200" i="1"/>
  <c r="F200" i="1" s="1"/>
  <c r="D196" i="1"/>
  <c r="F196" i="1" s="1"/>
  <c r="D192" i="1"/>
  <c r="F192" i="1" s="1"/>
  <c r="D366" i="1"/>
  <c r="F366" i="1" s="1"/>
  <c r="D334" i="1"/>
  <c r="F334" i="1" s="1"/>
  <c r="D304" i="1"/>
  <c r="F304" i="1" s="1"/>
  <c r="D291" i="1"/>
  <c r="F291" i="1" s="1"/>
  <c r="D330" i="1"/>
  <c r="F330" i="1" s="1"/>
  <c r="D308" i="1"/>
  <c r="F308" i="1" s="1"/>
  <c r="D295" i="1"/>
  <c r="F295" i="1" s="1"/>
  <c r="D283" i="1"/>
  <c r="F283" i="1" s="1"/>
  <c r="D277" i="1"/>
  <c r="F277" i="1" s="1"/>
  <c r="D273" i="1"/>
  <c r="F273" i="1" s="1"/>
  <c r="D269" i="1"/>
  <c r="F269" i="1" s="1"/>
  <c r="D265" i="1"/>
  <c r="F265" i="1" s="1"/>
  <c r="D261" i="1"/>
  <c r="F261" i="1" s="1"/>
  <c r="D257" i="1"/>
  <c r="F257" i="1" s="1"/>
  <c r="D253" i="1"/>
  <c r="F253" i="1" s="1"/>
  <c r="D249" i="1"/>
  <c r="F249" i="1" s="1"/>
  <c r="D245" i="1"/>
  <c r="F245" i="1" s="1"/>
  <c r="D241" i="1"/>
  <c r="F241" i="1" s="1"/>
  <c r="D237" i="1"/>
  <c r="F237" i="1" s="1"/>
  <c r="D233" i="1"/>
  <c r="F233" i="1" s="1"/>
  <c r="D229" i="1"/>
  <c r="F229" i="1" s="1"/>
  <c r="D225" i="1"/>
  <c r="F225" i="1" s="1"/>
  <c r="D221" i="1"/>
  <c r="F221" i="1" s="1"/>
  <c r="D217" i="1"/>
  <c r="F217" i="1" s="1"/>
  <c r="D213" i="1"/>
  <c r="F213" i="1" s="1"/>
  <c r="D209" i="1"/>
  <c r="F209" i="1" s="1"/>
  <c r="D205" i="1"/>
  <c r="F205" i="1" s="1"/>
  <c r="D201" i="1"/>
  <c r="F201" i="1" s="1"/>
  <c r="D197" i="1"/>
  <c r="F197" i="1" s="1"/>
  <c r="D193" i="1"/>
  <c r="F193" i="1" s="1"/>
  <c r="D189" i="1"/>
  <c r="F189" i="1" s="1"/>
  <c r="D326" i="1"/>
  <c r="F326" i="1" s="1"/>
  <c r="D312" i="1"/>
  <c r="F312" i="1" s="1"/>
  <c r="D299" i="1"/>
  <c r="F299" i="1" s="1"/>
  <c r="D332" i="1"/>
  <c r="F332" i="1" s="1"/>
  <c r="D311" i="1"/>
  <c r="F311" i="1" s="1"/>
  <c r="D279" i="1"/>
  <c r="F279" i="1" s="1"/>
  <c r="D271" i="1"/>
  <c r="F271" i="1" s="1"/>
  <c r="D263" i="1"/>
  <c r="F263" i="1" s="1"/>
  <c r="D255" i="1"/>
  <c r="F255" i="1" s="1"/>
  <c r="D247" i="1"/>
  <c r="F247" i="1" s="1"/>
  <c r="D239" i="1"/>
  <c r="F239" i="1" s="1"/>
  <c r="D231" i="1"/>
  <c r="F231" i="1" s="1"/>
  <c r="D218" i="1"/>
  <c r="F218" i="1" s="1"/>
  <c r="D355" i="1"/>
  <c r="F355" i="1" s="1"/>
  <c r="D315" i="1"/>
  <c r="F315" i="1" s="1"/>
  <c r="D222" i="1"/>
  <c r="F222" i="1" s="1"/>
  <c r="D214" i="1"/>
  <c r="F214" i="1" s="1"/>
  <c r="D207" i="1"/>
  <c r="F207" i="1" s="1"/>
  <c r="D198" i="1"/>
  <c r="F198" i="1" s="1"/>
  <c r="D191" i="1"/>
  <c r="F191" i="1" s="1"/>
  <c r="D185" i="1"/>
  <c r="F185" i="1" s="1"/>
  <c r="D181" i="1"/>
  <c r="F181" i="1" s="1"/>
  <c r="D177" i="1"/>
  <c r="F177" i="1" s="1"/>
  <c r="D173" i="1"/>
  <c r="F173" i="1" s="1"/>
  <c r="D169" i="1"/>
  <c r="F169" i="1" s="1"/>
  <c r="D165" i="1"/>
  <c r="F165" i="1" s="1"/>
  <c r="D161" i="1"/>
  <c r="F161" i="1" s="1"/>
  <c r="D157" i="1"/>
  <c r="F157" i="1" s="1"/>
  <c r="D153" i="1"/>
  <c r="F153" i="1" s="1"/>
  <c r="D149" i="1"/>
  <c r="F149" i="1" s="1"/>
  <c r="D145" i="1"/>
  <c r="F145" i="1" s="1"/>
  <c r="D141" i="1"/>
  <c r="F141" i="1" s="1"/>
  <c r="D137" i="1"/>
  <c r="F137" i="1" s="1"/>
  <c r="D133" i="1"/>
  <c r="F133" i="1" s="1"/>
  <c r="D129" i="1"/>
  <c r="F129" i="1" s="1"/>
  <c r="D125" i="1"/>
  <c r="F125" i="1" s="1"/>
  <c r="D121" i="1"/>
  <c r="F121" i="1" s="1"/>
  <c r="D117" i="1"/>
  <c r="F117" i="1" s="1"/>
  <c r="D113" i="1"/>
  <c r="F113" i="1" s="1"/>
  <c r="D109" i="1"/>
  <c r="F109" i="1" s="1"/>
  <c r="D105" i="1"/>
  <c r="F105" i="1" s="1"/>
  <c r="D101" i="1"/>
  <c r="F101" i="1" s="1"/>
  <c r="D97" i="1"/>
  <c r="F97" i="1" s="1"/>
  <c r="D93" i="1"/>
  <c r="F93" i="1" s="1"/>
  <c r="D89" i="1"/>
  <c r="F89" i="1" s="1"/>
  <c r="D85" i="1"/>
  <c r="F85" i="1" s="1"/>
  <c r="D81" i="1"/>
  <c r="F81" i="1" s="1"/>
  <c r="D77" i="1"/>
  <c r="F77" i="1" s="1"/>
  <c r="D73" i="1"/>
  <c r="F73" i="1" s="1"/>
  <c r="D69" i="1"/>
  <c r="F69" i="1" s="1"/>
  <c r="D65" i="1"/>
  <c r="F65" i="1" s="1"/>
  <c r="D61" i="1"/>
  <c r="F61" i="1" s="1"/>
  <c r="D360" i="1"/>
  <c r="F360" i="1" s="1"/>
  <c r="D343" i="1"/>
  <c r="F343" i="1" s="1"/>
  <c r="D323" i="1"/>
  <c r="F323" i="1" s="1"/>
  <c r="D278" i="1"/>
  <c r="F278" i="1" s="1"/>
  <c r="D270" i="1"/>
  <c r="F270" i="1" s="1"/>
  <c r="D262" i="1"/>
  <c r="F262" i="1" s="1"/>
  <c r="D254" i="1"/>
  <c r="F254" i="1" s="1"/>
  <c r="F246" i="1"/>
  <c r="D238" i="1"/>
  <c r="F238" i="1" s="1"/>
  <c r="D336" i="1"/>
  <c r="F336" i="1" s="1"/>
  <c r="D322" i="1"/>
  <c r="F322" i="1" s="1"/>
  <c r="D288" i="1"/>
  <c r="F288" i="1" s="1"/>
  <c r="D351" i="1"/>
  <c r="F351" i="1" s="1"/>
  <c r="D292" i="1"/>
  <c r="F292" i="1" s="1"/>
  <c r="D284" i="1"/>
  <c r="F284" i="1" s="1"/>
  <c r="D275" i="1"/>
  <c r="F275" i="1" s="1"/>
  <c r="D267" i="1"/>
  <c r="F267" i="1" s="1"/>
  <c r="D259" i="1"/>
  <c r="F259" i="1" s="1"/>
  <c r="D251" i="1"/>
  <c r="F251" i="1" s="1"/>
  <c r="D243" i="1"/>
  <c r="F243" i="1" s="1"/>
  <c r="D235" i="1"/>
  <c r="F235" i="1" s="1"/>
  <c r="D342" i="1"/>
  <c r="F342" i="1" s="1"/>
  <c r="D328" i="1"/>
  <c r="F328" i="1" s="1"/>
  <c r="D296" i="1"/>
  <c r="F296" i="1" s="1"/>
  <c r="D219" i="1"/>
  <c r="F219" i="1" s="1"/>
  <c r="D215" i="1"/>
  <c r="F215" i="1" s="1"/>
  <c r="D206" i="1"/>
  <c r="F206" i="1" s="1"/>
  <c r="D199" i="1"/>
  <c r="F199" i="1" s="1"/>
  <c r="D190" i="1"/>
  <c r="F190" i="1" s="1"/>
  <c r="D187" i="1"/>
  <c r="F187" i="1" s="1"/>
  <c r="D183" i="1"/>
  <c r="F183" i="1" s="1"/>
  <c r="D179" i="1"/>
  <c r="F179" i="1" s="1"/>
  <c r="D175" i="1"/>
  <c r="F175" i="1" s="1"/>
  <c r="D171" i="1"/>
  <c r="F171" i="1" s="1"/>
  <c r="D167" i="1"/>
  <c r="F167" i="1" s="1"/>
  <c r="D163" i="1"/>
  <c r="F163" i="1" s="1"/>
  <c r="D159" i="1"/>
  <c r="F159" i="1" s="1"/>
  <c r="D155" i="1"/>
  <c r="F155" i="1" s="1"/>
  <c r="D151" i="1"/>
  <c r="F151" i="1" s="1"/>
  <c r="D147" i="1"/>
  <c r="F147" i="1" s="1"/>
  <c r="D143" i="1"/>
  <c r="F143" i="1" s="1"/>
  <c r="D139" i="1"/>
  <c r="F139" i="1" s="1"/>
  <c r="D135" i="1"/>
  <c r="F135" i="1" s="1"/>
  <c r="D131" i="1"/>
  <c r="F131" i="1" s="1"/>
  <c r="D127" i="1"/>
  <c r="F127" i="1" s="1"/>
  <c r="D123" i="1"/>
  <c r="F123" i="1" s="1"/>
  <c r="D119" i="1"/>
  <c r="F119" i="1" s="1"/>
  <c r="D10" i="1"/>
  <c r="F10" i="1" s="1"/>
  <c r="D14" i="1"/>
  <c r="F14" i="1" s="1"/>
  <c r="D18" i="1"/>
  <c r="F18" i="1" s="1"/>
  <c r="D22" i="1"/>
  <c r="F22" i="1" s="1"/>
  <c r="D26" i="1"/>
  <c r="F26" i="1" s="1"/>
  <c r="D30" i="1"/>
  <c r="F30" i="1" s="1"/>
  <c r="D34" i="1"/>
  <c r="F34" i="1" s="1"/>
  <c r="D38" i="1"/>
  <c r="F38" i="1" s="1"/>
  <c r="D42" i="1"/>
  <c r="F42" i="1" s="1"/>
  <c r="D46" i="1"/>
  <c r="F46" i="1" s="1"/>
  <c r="D52" i="1"/>
  <c r="F52" i="1" s="1"/>
  <c r="D55" i="1"/>
  <c r="F55" i="1" s="1"/>
  <c r="D71" i="1"/>
  <c r="F71" i="1" s="1"/>
  <c r="D84" i="1"/>
  <c r="F84" i="1" s="1"/>
  <c r="D86" i="1"/>
  <c r="F86" i="1" s="1"/>
  <c r="D103" i="1"/>
  <c r="F103" i="1" s="1"/>
  <c r="D116" i="1"/>
  <c r="F116" i="1" s="1"/>
  <c r="D124" i="1"/>
  <c r="F124" i="1" s="1"/>
  <c r="D132" i="1"/>
  <c r="F132" i="1" s="1"/>
  <c r="D140" i="1"/>
  <c r="F140" i="1" s="1"/>
  <c r="D148" i="1"/>
  <c r="F148" i="1" s="1"/>
  <c r="D156" i="1"/>
  <c r="F156" i="1" s="1"/>
  <c r="D164" i="1"/>
  <c r="F164" i="1" s="1"/>
  <c r="D172" i="1"/>
  <c r="F172" i="1" s="1"/>
  <c r="D180" i="1"/>
  <c r="F180" i="1" s="1"/>
  <c r="D188" i="1"/>
  <c r="F188" i="1" s="1"/>
  <c r="D195" i="1"/>
  <c r="F195" i="1" s="1"/>
  <c r="D202" i="1"/>
  <c r="F202" i="1" s="1"/>
  <c r="D242" i="1"/>
  <c r="F242" i="1" s="1"/>
  <c r="D274" i="1"/>
  <c r="F274" i="1" s="1"/>
  <c r="D303" i="1"/>
  <c r="F303" i="1" s="1"/>
  <c r="G7" i="1" l="1"/>
  <c r="B8" i="1" s="1"/>
  <c r="C8" i="1" l="1"/>
  <c r="G8" i="1" s="1"/>
  <c r="H8" i="1" s="1"/>
  <c r="B9" i="1" l="1"/>
  <c r="C9" i="1" l="1"/>
  <c r="G9" i="1"/>
  <c r="H9" i="1" s="1"/>
  <c r="B10" i="1" l="1"/>
  <c r="C10" i="1" l="1"/>
  <c r="G10" i="1"/>
  <c r="H10" i="1" s="1"/>
  <c r="B11" i="1" l="1"/>
  <c r="C11" i="1" l="1"/>
  <c r="G11" i="1" s="1"/>
  <c r="H11" i="1" s="1"/>
  <c r="B12" i="1" l="1"/>
  <c r="C12" i="1" l="1"/>
  <c r="G12" i="1"/>
  <c r="H12" i="1" s="1"/>
  <c r="B13" i="1" l="1"/>
  <c r="C13" i="1" l="1"/>
  <c r="G13" i="1" s="1"/>
  <c r="H13" i="1" l="1"/>
  <c r="B14" i="1" s="1"/>
  <c r="C14" i="1" l="1"/>
  <c r="G14" i="1" s="1"/>
  <c r="H14" i="1" l="1"/>
  <c r="B15" i="1" s="1"/>
  <c r="C15" i="1" l="1"/>
  <c r="G15" i="1" s="1"/>
  <c r="H15" i="1" l="1"/>
  <c r="B16" i="1" s="1"/>
  <c r="C16" i="1" l="1"/>
  <c r="G16" i="1" s="1"/>
  <c r="H16" i="1" l="1"/>
  <c r="B17" i="1" s="1"/>
  <c r="C17" i="1" l="1"/>
  <c r="G17" i="1" s="1"/>
  <c r="H17" i="1" l="1"/>
  <c r="B18" i="1" s="1"/>
  <c r="C18" i="1" l="1"/>
  <c r="G18" i="1" s="1"/>
  <c r="H18" i="1" l="1"/>
  <c r="B19" i="1" s="1"/>
  <c r="C19" i="1" l="1"/>
  <c r="G19" i="1" s="1"/>
  <c r="H19" i="1" l="1"/>
  <c r="B20" i="1" s="1"/>
  <c r="C20" i="1" l="1"/>
  <c r="G20" i="1" s="1"/>
  <c r="H20" i="1" l="1"/>
  <c r="B21" i="1" s="1"/>
  <c r="C21" i="1" l="1"/>
  <c r="G21" i="1" s="1"/>
  <c r="H21" i="1" l="1"/>
  <c r="B22" i="1" s="1"/>
  <c r="C22" i="1" l="1"/>
  <c r="G22" i="1" s="1"/>
  <c r="H22" i="1" l="1"/>
  <c r="B23" i="1" s="1"/>
  <c r="C23" i="1" l="1"/>
  <c r="G23" i="1" s="1"/>
  <c r="H23" i="1" l="1"/>
  <c r="B24" i="1" s="1"/>
  <c r="C24" i="1" l="1"/>
  <c r="G24" i="1" s="1"/>
  <c r="H24" i="1" l="1"/>
  <c r="B25" i="1" s="1"/>
  <c r="C25" i="1" l="1"/>
  <c r="G25" i="1" s="1"/>
  <c r="H25" i="1" l="1"/>
  <c r="B26" i="1" s="1"/>
  <c r="C26" i="1" l="1"/>
  <c r="G26" i="1" s="1"/>
  <c r="B27" i="1" l="1"/>
  <c r="H26" i="1"/>
  <c r="H27" i="1" l="1"/>
  <c r="C27" i="1"/>
  <c r="G27" i="1" s="1"/>
  <c r="B28" i="1" l="1"/>
  <c r="C28" i="1" l="1"/>
  <c r="G28" i="1" s="1"/>
  <c r="H28" i="1" s="1"/>
  <c r="B29" i="1" l="1"/>
  <c r="H29" i="1" l="1"/>
  <c r="C29" i="1"/>
  <c r="G29" i="1" s="1"/>
  <c r="B30" i="1" l="1"/>
  <c r="H30" i="1" l="1"/>
  <c r="C30" i="1"/>
  <c r="G30" i="1" s="1"/>
  <c r="B31" i="1" l="1"/>
  <c r="C31" i="1" l="1"/>
  <c r="G31" i="1" s="1"/>
  <c r="H31" i="1" s="1"/>
  <c r="B32" i="1" l="1"/>
  <c r="C32" i="1" l="1"/>
  <c r="G32" i="1" s="1"/>
  <c r="H32" i="1" s="1"/>
  <c r="B33" i="1" l="1"/>
  <c r="C33" i="1" l="1"/>
  <c r="G33" i="1" s="1"/>
  <c r="H33" i="1" l="1"/>
  <c r="B34" i="1" s="1"/>
  <c r="C34" i="1" l="1"/>
  <c r="G34" i="1" s="1"/>
  <c r="H34" i="1" l="1"/>
  <c r="B35" i="1" s="1"/>
  <c r="C35" i="1" l="1"/>
  <c r="G35" i="1" s="1"/>
  <c r="H35" i="1" l="1"/>
  <c r="B36" i="1" s="1"/>
  <c r="C36" i="1" l="1"/>
  <c r="G36" i="1" s="1"/>
  <c r="H36" i="1" l="1"/>
  <c r="B37" i="1" s="1"/>
  <c r="C37" i="1" l="1"/>
  <c r="G37" i="1" s="1"/>
  <c r="H37" i="1" l="1"/>
  <c r="B38" i="1" s="1"/>
  <c r="C38" i="1" l="1"/>
  <c r="G38" i="1" s="1"/>
  <c r="H38" i="1" l="1"/>
  <c r="B39" i="1" s="1"/>
  <c r="C39" i="1" l="1"/>
  <c r="G39" i="1" s="1"/>
  <c r="H39" i="1" l="1"/>
  <c r="B40" i="1" s="1"/>
  <c r="C40" i="1" l="1"/>
  <c r="G40" i="1" s="1"/>
  <c r="H40" i="1" l="1"/>
  <c r="B41" i="1" s="1"/>
  <c r="C41" i="1" l="1"/>
  <c r="G41" i="1" s="1"/>
  <c r="H41" i="1" l="1"/>
  <c r="B42" i="1" s="1"/>
  <c r="C42" i="1" l="1"/>
  <c r="G42" i="1" s="1"/>
  <c r="H42" i="1" l="1"/>
  <c r="B43" i="1" s="1"/>
  <c r="C43" i="1" l="1"/>
  <c r="G43" i="1" s="1"/>
  <c r="H43" i="1" l="1"/>
  <c r="B44" i="1" s="1"/>
  <c r="C44" i="1" l="1"/>
  <c r="G44" i="1" s="1"/>
  <c r="H44" i="1" l="1"/>
  <c r="B45" i="1" s="1"/>
  <c r="C45" i="1" l="1"/>
  <c r="G45" i="1" s="1"/>
  <c r="H45" i="1" l="1"/>
  <c r="B46" i="1" s="1"/>
  <c r="C46" i="1" l="1"/>
  <c r="G46" i="1" s="1"/>
  <c r="H46" i="1" l="1"/>
  <c r="B47" i="1" s="1"/>
  <c r="C47" i="1" l="1"/>
  <c r="G47" i="1" s="1"/>
  <c r="H47" i="1" l="1"/>
  <c r="B48" i="1" s="1"/>
  <c r="H48" i="1" l="1"/>
  <c r="C48" i="1"/>
  <c r="G48" i="1" s="1"/>
  <c r="B49" i="1" l="1"/>
  <c r="C49" i="1" l="1"/>
  <c r="G49" i="1" s="1"/>
  <c r="H49" i="1" l="1"/>
  <c r="B50" i="1" s="1"/>
  <c r="C50" i="1" l="1"/>
  <c r="G50" i="1" s="1"/>
  <c r="H50" i="1" l="1"/>
  <c r="B51" i="1" s="1"/>
  <c r="C51" i="1" l="1"/>
  <c r="G51" i="1" s="1"/>
  <c r="H51" i="1" l="1"/>
  <c r="B52" i="1" s="1"/>
  <c r="C52" i="1" l="1"/>
  <c r="G52" i="1" s="1"/>
  <c r="H52" i="1" l="1"/>
  <c r="B53" i="1" s="1"/>
  <c r="C53" i="1" l="1"/>
  <c r="G53" i="1" s="1"/>
  <c r="H53" i="1" l="1"/>
  <c r="B54" i="1" s="1"/>
  <c r="C54" i="1" l="1"/>
  <c r="G54" i="1" s="1"/>
  <c r="H54" i="1" l="1"/>
  <c r="B55" i="1" s="1"/>
  <c r="C55" i="1" l="1"/>
  <c r="G55" i="1" s="1"/>
  <c r="H55" i="1" l="1"/>
  <c r="B56" i="1" s="1"/>
  <c r="C56" i="1" l="1"/>
  <c r="G56" i="1" s="1"/>
  <c r="H56" i="1" l="1"/>
  <c r="B57" i="1" s="1"/>
  <c r="C57" i="1" l="1"/>
  <c r="G57" i="1" s="1"/>
  <c r="H57" i="1" l="1"/>
  <c r="B58" i="1" s="1"/>
  <c r="C58" i="1" l="1"/>
  <c r="G58" i="1" s="1"/>
  <c r="H58" i="1" l="1"/>
  <c r="B59" i="1" s="1"/>
  <c r="C59" i="1" l="1"/>
  <c r="G59" i="1" s="1"/>
  <c r="H59" i="1" l="1"/>
  <c r="B60" i="1" s="1"/>
  <c r="C60" i="1" l="1"/>
  <c r="G60" i="1" s="1"/>
  <c r="H60" i="1" l="1"/>
  <c r="B61" i="1" s="1"/>
  <c r="C61" i="1" l="1"/>
  <c r="G61" i="1" s="1"/>
  <c r="H61" i="1" l="1"/>
  <c r="B62" i="1" s="1"/>
  <c r="C62" i="1" l="1"/>
  <c r="G62" i="1" s="1"/>
  <c r="H62" i="1" l="1"/>
  <c r="B63" i="1" s="1"/>
  <c r="C63" i="1" l="1"/>
  <c r="G63" i="1" s="1"/>
  <c r="H63" i="1" l="1"/>
  <c r="B64" i="1" s="1"/>
  <c r="C64" i="1" l="1"/>
  <c r="G64" i="1" s="1"/>
  <c r="H64" i="1" l="1"/>
  <c r="B65" i="1" s="1"/>
  <c r="C65" i="1" l="1"/>
  <c r="G65" i="1" s="1"/>
  <c r="H65" i="1" l="1"/>
  <c r="B66" i="1" s="1"/>
  <c r="C66" i="1" l="1"/>
  <c r="G66" i="1" s="1"/>
  <c r="H66" i="1" l="1"/>
  <c r="B67" i="1" s="1"/>
  <c r="C67" i="1" l="1"/>
  <c r="G67" i="1" s="1"/>
  <c r="H67" i="1" l="1"/>
  <c r="B68" i="1" s="1"/>
  <c r="C68" i="1" l="1"/>
  <c r="G68" i="1" s="1"/>
  <c r="H68" i="1" l="1"/>
  <c r="B69" i="1" s="1"/>
  <c r="C69" i="1" l="1"/>
  <c r="G69" i="1" s="1"/>
  <c r="H69" i="1" l="1"/>
  <c r="B70" i="1" s="1"/>
  <c r="C70" i="1" l="1"/>
  <c r="G70" i="1" s="1"/>
  <c r="H70" i="1" l="1"/>
  <c r="B71" i="1" s="1"/>
  <c r="C71" i="1" l="1"/>
  <c r="G71" i="1" s="1"/>
  <c r="H71" i="1" l="1"/>
  <c r="B72" i="1" s="1"/>
  <c r="C72" i="1" l="1"/>
  <c r="G72" i="1" s="1"/>
  <c r="H72" i="1" l="1"/>
  <c r="B73" i="1" s="1"/>
  <c r="C73" i="1" l="1"/>
  <c r="G73" i="1" s="1"/>
  <c r="H73" i="1" l="1"/>
  <c r="B74" i="1" s="1"/>
  <c r="C74" i="1" l="1"/>
  <c r="G74" i="1" s="1"/>
  <c r="H74" i="1" l="1"/>
  <c r="B75" i="1" s="1"/>
  <c r="C75" i="1" l="1"/>
  <c r="G75" i="1" s="1"/>
  <c r="H75" i="1" l="1"/>
  <c r="B76" i="1" s="1"/>
  <c r="C76" i="1" l="1"/>
  <c r="G76" i="1" s="1"/>
  <c r="H76" i="1" l="1"/>
  <c r="B77" i="1" s="1"/>
  <c r="C77" i="1" l="1"/>
  <c r="G77" i="1" s="1"/>
  <c r="H77" i="1" l="1"/>
  <c r="B78" i="1" s="1"/>
  <c r="C78" i="1" l="1"/>
  <c r="G78" i="1" s="1"/>
  <c r="H78" i="1" l="1"/>
  <c r="B79" i="1" s="1"/>
  <c r="C79" i="1" l="1"/>
  <c r="G79" i="1" s="1"/>
  <c r="H79" i="1" l="1"/>
  <c r="B80" i="1" s="1"/>
  <c r="C80" i="1" l="1"/>
  <c r="G80" i="1" s="1"/>
  <c r="H80" i="1" l="1"/>
  <c r="B81" i="1" s="1"/>
  <c r="C81" i="1" l="1"/>
  <c r="G81" i="1" s="1"/>
  <c r="B82" i="1" l="1"/>
  <c r="H81" i="1"/>
  <c r="C82" i="1" l="1"/>
  <c r="G82" i="1" s="1"/>
  <c r="H82" i="1" l="1"/>
  <c r="B83" i="1" s="1"/>
  <c r="C83" i="1" l="1"/>
  <c r="G83" i="1" s="1"/>
  <c r="H83" i="1" l="1"/>
  <c r="B84" i="1" s="1"/>
  <c r="C84" i="1" l="1"/>
  <c r="G84" i="1" s="1"/>
  <c r="H84" i="1" l="1"/>
  <c r="B85" i="1" s="1"/>
  <c r="C85" i="1" l="1"/>
  <c r="G85" i="1" s="1"/>
  <c r="H85" i="1" l="1"/>
  <c r="B86" i="1" s="1"/>
  <c r="C86" i="1" l="1"/>
  <c r="G86" i="1" s="1"/>
  <c r="H86" i="1" l="1"/>
  <c r="B87" i="1" s="1"/>
  <c r="C87" i="1" l="1"/>
  <c r="G87" i="1" s="1"/>
  <c r="H87" i="1" l="1"/>
  <c r="B88" i="1" s="1"/>
  <c r="C88" i="1" l="1"/>
  <c r="G88" i="1" s="1"/>
  <c r="H88" i="1" l="1"/>
  <c r="B89" i="1" s="1"/>
  <c r="C89" i="1" l="1"/>
  <c r="G89" i="1" s="1"/>
  <c r="H89" i="1" l="1"/>
  <c r="B90" i="1" s="1"/>
  <c r="C90" i="1" l="1"/>
  <c r="G90" i="1" s="1"/>
  <c r="H90" i="1" l="1"/>
  <c r="B91" i="1" s="1"/>
  <c r="C91" i="1" l="1"/>
  <c r="G91" i="1" s="1"/>
  <c r="H91" i="1" l="1"/>
  <c r="B92" i="1" s="1"/>
  <c r="C92" i="1" l="1"/>
  <c r="G92" i="1" s="1"/>
  <c r="H92" i="1" l="1"/>
  <c r="B93" i="1" s="1"/>
  <c r="C93" i="1" l="1"/>
  <c r="G93" i="1" s="1"/>
  <c r="H93" i="1" l="1"/>
  <c r="B94" i="1" s="1"/>
  <c r="C94" i="1" l="1"/>
  <c r="G94" i="1" s="1"/>
  <c r="H94" i="1" l="1"/>
  <c r="B95" i="1" s="1"/>
  <c r="C95" i="1" l="1"/>
  <c r="G95" i="1" s="1"/>
  <c r="H95" i="1" l="1"/>
  <c r="B96" i="1" s="1"/>
  <c r="C96" i="1" l="1"/>
  <c r="G96" i="1" s="1"/>
  <c r="H96" i="1" l="1"/>
  <c r="B97" i="1" s="1"/>
  <c r="C97" i="1" l="1"/>
  <c r="G97" i="1" s="1"/>
  <c r="H97" i="1" l="1"/>
  <c r="B98" i="1" s="1"/>
  <c r="C98" i="1" l="1"/>
  <c r="G98" i="1" s="1"/>
  <c r="H98" i="1" l="1"/>
  <c r="B99" i="1" s="1"/>
  <c r="C99" i="1" l="1"/>
  <c r="G99" i="1" s="1"/>
  <c r="H99" i="1" l="1"/>
  <c r="B100" i="1" s="1"/>
  <c r="C100" i="1" l="1"/>
  <c r="G100" i="1" s="1"/>
  <c r="H100" i="1" l="1"/>
  <c r="B101" i="1" s="1"/>
  <c r="C101" i="1" l="1"/>
  <c r="G101" i="1" s="1"/>
  <c r="H101" i="1" l="1"/>
  <c r="B102" i="1" s="1"/>
  <c r="C102" i="1" l="1"/>
  <c r="G102" i="1" s="1"/>
  <c r="H102" i="1" l="1"/>
  <c r="B103" i="1" s="1"/>
  <c r="C103" i="1" l="1"/>
  <c r="G103" i="1" s="1"/>
  <c r="H103" i="1" l="1"/>
  <c r="B104" i="1" s="1"/>
  <c r="C104" i="1" l="1"/>
  <c r="G104" i="1" s="1"/>
  <c r="H104" i="1" l="1"/>
  <c r="B105" i="1" s="1"/>
  <c r="C105" i="1" l="1"/>
  <c r="G105" i="1" s="1"/>
  <c r="H105" i="1" l="1"/>
  <c r="B106" i="1" s="1"/>
  <c r="C106" i="1" l="1"/>
  <c r="G106" i="1" s="1"/>
  <c r="H106" i="1" l="1"/>
  <c r="B107" i="1" s="1"/>
  <c r="C107" i="1" l="1"/>
  <c r="G107" i="1" s="1"/>
  <c r="H107" i="1" l="1"/>
  <c r="B108" i="1" s="1"/>
  <c r="C108" i="1" l="1"/>
  <c r="G108" i="1" s="1"/>
  <c r="H108" i="1" l="1"/>
  <c r="B109" i="1" s="1"/>
  <c r="C109" i="1" l="1"/>
  <c r="G109" i="1" s="1"/>
  <c r="H109" i="1" l="1"/>
  <c r="B110" i="1" s="1"/>
  <c r="C110" i="1" l="1"/>
  <c r="G110" i="1" s="1"/>
  <c r="H110" i="1" l="1"/>
  <c r="B111" i="1" s="1"/>
  <c r="C111" i="1" l="1"/>
  <c r="G111" i="1" s="1"/>
  <c r="H111" i="1" l="1"/>
  <c r="B112" i="1" s="1"/>
  <c r="C112" i="1" l="1"/>
  <c r="G112" i="1" s="1"/>
  <c r="H112" i="1" l="1"/>
  <c r="B113" i="1" s="1"/>
  <c r="C113" i="1" l="1"/>
  <c r="G113" i="1" s="1"/>
  <c r="H113" i="1" l="1"/>
  <c r="B114" i="1" s="1"/>
  <c r="C114" i="1" l="1"/>
  <c r="G114" i="1" s="1"/>
  <c r="H114" i="1" l="1"/>
  <c r="B115" i="1" s="1"/>
  <c r="C115" i="1" l="1"/>
  <c r="G115" i="1" s="1"/>
  <c r="H115" i="1" l="1"/>
  <c r="B116" i="1" s="1"/>
  <c r="C116" i="1" l="1"/>
  <c r="G116" i="1" s="1"/>
  <c r="H116" i="1" l="1"/>
  <c r="B117" i="1" s="1"/>
  <c r="C117" i="1" l="1"/>
  <c r="G117" i="1" s="1"/>
  <c r="H117" i="1" l="1"/>
  <c r="B118" i="1" s="1"/>
  <c r="C118" i="1" l="1"/>
  <c r="G118" i="1" s="1"/>
  <c r="H118" i="1" l="1"/>
  <c r="B119" i="1" s="1"/>
  <c r="C119" i="1" l="1"/>
  <c r="G119" i="1" s="1"/>
  <c r="H119" i="1" l="1"/>
  <c r="B120" i="1" s="1"/>
  <c r="C120" i="1" l="1"/>
  <c r="G120" i="1" s="1"/>
  <c r="H120" i="1" l="1"/>
  <c r="B121" i="1" s="1"/>
  <c r="C121" i="1" l="1"/>
  <c r="G121" i="1" s="1"/>
  <c r="H121" i="1" l="1"/>
  <c r="B122" i="1" s="1"/>
  <c r="C122" i="1" l="1"/>
  <c r="G122" i="1" s="1"/>
  <c r="H122" i="1" l="1"/>
  <c r="B123" i="1" s="1"/>
  <c r="C123" i="1" l="1"/>
  <c r="G123" i="1" s="1"/>
  <c r="H123" i="1" l="1"/>
  <c r="B124" i="1" s="1"/>
  <c r="C124" i="1" l="1"/>
  <c r="G124" i="1" s="1"/>
  <c r="H124" i="1" l="1"/>
  <c r="B125" i="1" s="1"/>
  <c r="C125" i="1" l="1"/>
  <c r="G125" i="1" s="1"/>
  <c r="H125" i="1" l="1"/>
  <c r="B126" i="1" s="1"/>
  <c r="C126" i="1" l="1"/>
  <c r="G126" i="1" s="1"/>
  <c r="H126" i="1" l="1"/>
  <c r="B127" i="1" s="1"/>
  <c r="C127" i="1" l="1"/>
  <c r="G127" i="1" s="1"/>
  <c r="H127" i="1" l="1"/>
  <c r="B128" i="1" s="1"/>
  <c r="C128" i="1" l="1"/>
  <c r="G128" i="1" s="1"/>
  <c r="H128" i="1" l="1"/>
  <c r="B129" i="1" s="1"/>
  <c r="C129" i="1" l="1"/>
  <c r="G129" i="1" s="1"/>
  <c r="H129" i="1" l="1"/>
  <c r="B130" i="1" s="1"/>
  <c r="C130" i="1" l="1"/>
  <c r="G130" i="1" s="1"/>
  <c r="H130" i="1" l="1"/>
  <c r="B131" i="1" s="1"/>
  <c r="C131" i="1" l="1"/>
  <c r="G131" i="1" s="1"/>
  <c r="H131" i="1" l="1"/>
  <c r="B132" i="1" s="1"/>
  <c r="C132" i="1" l="1"/>
  <c r="G132" i="1" s="1"/>
  <c r="H132" i="1" l="1"/>
  <c r="B133" i="1" s="1"/>
  <c r="C133" i="1" l="1"/>
  <c r="G133" i="1" s="1"/>
  <c r="H133" i="1" l="1"/>
  <c r="B134" i="1" s="1"/>
  <c r="C134" i="1" l="1"/>
  <c r="G134" i="1" s="1"/>
  <c r="H134" i="1" l="1"/>
  <c r="B135" i="1" s="1"/>
  <c r="C135" i="1" l="1"/>
  <c r="G135" i="1" s="1"/>
  <c r="H135" i="1" l="1"/>
  <c r="B136" i="1" s="1"/>
  <c r="C136" i="1" l="1"/>
  <c r="G136" i="1" s="1"/>
  <c r="H136" i="1" l="1"/>
  <c r="B137" i="1" s="1"/>
  <c r="C137" i="1" l="1"/>
  <c r="G137" i="1" s="1"/>
  <c r="H137" i="1" l="1"/>
  <c r="B138" i="1" s="1"/>
  <c r="C138" i="1" l="1"/>
  <c r="G138" i="1" s="1"/>
  <c r="H138" i="1" l="1"/>
  <c r="B139" i="1" s="1"/>
  <c r="C139" i="1" l="1"/>
  <c r="G139" i="1" s="1"/>
  <c r="H139" i="1" l="1"/>
  <c r="B140" i="1" s="1"/>
  <c r="C140" i="1" l="1"/>
  <c r="G140" i="1" s="1"/>
  <c r="H140" i="1" l="1"/>
  <c r="B141" i="1" s="1"/>
  <c r="C141" i="1" l="1"/>
  <c r="G141" i="1" s="1"/>
  <c r="H141" i="1" l="1"/>
  <c r="B142" i="1" s="1"/>
  <c r="C142" i="1" l="1"/>
  <c r="G142" i="1" s="1"/>
  <c r="H142" i="1" l="1"/>
  <c r="B143" i="1" s="1"/>
  <c r="C143" i="1" l="1"/>
  <c r="G143" i="1" s="1"/>
  <c r="H143" i="1" l="1"/>
  <c r="B144" i="1" s="1"/>
  <c r="C144" i="1" l="1"/>
  <c r="G144" i="1" s="1"/>
  <c r="H144" i="1" l="1"/>
  <c r="B145" i="1" s="1"/>
  <c r="C145" i="1" l="1"/>
  <c r="G145" i="1" s="1"/>
  <c r="H145" i="1" l="1"/>
  <c r="B146" i="1" s="1"/>
  <c r="C146" i="1" l="1"/>
  <c r="G146" i="1" s="1"/>
  <c r="H146" i="1" l="1"/>
  <c r="B147" i="1" s="1"/>
  <c r="C147" i="1" l="1"/>
  <c r="G147" i="1" s="1"/>
  <c r="H147" i="1" l="1"/>
  <c r="B148" i="1" s="1"/>
  <c r="C148" i="1" l="1"/>
  <c r="G148" i="1" s="1"/>
  <c r="H148" i="1" l="1"/>
  <c r="B149" i="1" s="1"/>
  <c r="C149" i="1" l="1"/>
  <c r="G149" i="1" s="1"/>
  <c r="H149" i="1" l="1"/>
  <c r="B150" i="1" s="1"/>
  <c r="C150" i="1" l="1"/>
  <c r="G150" i="1" s="1"/>
  <c r="H150" i="1" l="1"/>
  <c r="B151" i="1" s="1"/>
  <c r="C151" i="1" l="1"/>
  <c r="G151" i="1" s="1"/>
  <c r="H151" i="1" l="1"/>
  <c r="B152" i="1" s="1"/>
  <c r="C152" i="1" l="1"/>
  <c r="G152" i="1" s="1"/>
  <c r="H152" i="1" l="1"/>
  <c r="B153" i="1" s="1"/>
  <c r="C153" i="1" l="1"/>
  <c r="G153" i="1" s="1"/>
  <c r="H153" i="1" l="1"/>
  <c r="B154" i="1" s="1"/>
  <c r="C154" i="1" l="1"/>
  <c r="G154" i="1" s="1"/>
  <c r="H154" i="1" s="1"/>
  <c r="B155" i="1" l="1"/>
  <c r="C155" i="1" l="1"/>
  <c r="G155" i="1" s="1"/>
  <c r="H155" i="1" l="1"/>
  <c r="B156" i="1" s="1"/>
  <c r="C156" i="1" l="1"/>
  <c r="G156" i="1" s="1"/>
  <c r="H156" i="1" l="1"/>
  <c r="B157" i="1" s="1"/>
  <c r="C157" i="1" l="1"/>
  <c r="G157" i="1" s="1"/>
  <c r="H157" i="1" l="1"/>
  <c r="B158" i="1" s="1"/>
  <c r="C158" i="1" l="1"/>
  <c r="G158" i="1" s="1"/>
  <c r="H158" i="1" l="1"/>
  <c r="B159" i="1" s="1"/>
  <c r="C159" i="1" l="1"/>
  <c r="G159" i="1" s="1"/>
  <c r="H159" i="1" l="1"/>
  <c r="B160" i="1" s="1"/>
  <c r="C160" i="1" l="1"/>
  <c r="G160" i="1" s="1"/>
  <c r="H160" i="1" l="1"/>
  <c r="B161" i="1" s="1"/>
  <c r="C161" i="1" l="1"/>
  <c r="G161" i="1" s="1"/>
  <c r="H161" i="1" l="1"/>
  <c r="B162" i="1" s="1"/>
  <c r="C162" i="1" l="1"/>
  <c r="G162" i="1" s="1"/>
  <c r="H162" i="1" l="1"/>
  <c r="B163" i="1" s="1"/>
  <c r="C163" i="1" l="1"/>
  <c r="G163" i="1" s="1"/>
  <c r="H163" i="1" l="1"/>
  <c r="B164" i="1" s="1"/>
  <c r="C164" i="1" l="1"/>
  <c r="G164" i="1" s="1"/>
  <c r="H164" i="1" l="1"/>
  <c r="B165" i="1" s="1"/>
  <c r="C165" i="1" l="1"/>
  <c r="G165" i="1" s="1"/>
  <c r="H165" i="1" l="1"/>
  <c r="B166" i="1" s="1"/>
  <c r="C166" i="1" l="1"/>
  <c r="G166" i="1" s="1"/>
  <c r="H166" i="1" l="1"/>
  <c r="B167" i="1" s="1"/>
  <c r="C167" i="1" l="1"/>
  <c r="G167" i="1" s="1"/>
  <c r="H167" i="1" l="1"/>
  <c r="B168" i="1" s="1"/>
  <c r="C168" i="1" l="1"/>
  <c r="G168" i="1" s="1"/>
  <c r="H168" i="1" l="1"/>
  <c r="B169" i="1" s="1"/>
  <c r="C169" i="1" l="1"/>
  <c r="G169" i="1" s="1"/>
  <c r="H169" i="1" l="1"/>
  <c r="B170" i="1" s="1"/>
  <c r="C170" i="1" l="1"/>
  <c r="G170" i="1" s="1"/>
  <c r="H170" i="1" l="1"/>
  <c r="B171" i="1" s="1"/>
  <c r="C171" i="1" l="1"/>
  <c r="G171" i="1" s="1"/>
  <c r="H171" i="1" l="1"/>
  <c r="B172" i="1" s="1"/>
  <c r="C172" i="1" l="1"/>
  <c r="G172" i="1" s="1"/>
  <c r="H172" i="1" l="1"/>
  <c r="B173" i="1" s="1"/>
  <c r="C173" i="1" l="1"/>
  <c r="G173" i="1" s="1"/>
  <c r="H173" i="1" l="1"/>
  <c r="B174" i="1" s="1"/>
  <c r="C174" i="1" l="1"/>
  <c r="G174" i="1" s="1"/>
  <c r="H174" i="1" l="1"/>
  <c r="B175" i="1" s="1"/>
  <c r="C175" i="1" l="1"/>
  <c r="G175" i="1" s="1"/>
  <c r="H175" i="1" l="1"/>
  <c r="B176" i="1" s="1"/>
  <c r="C176" i="1" l="1"/>
  <c r="G176" i="1" s="1"/>
  <c r="H176" i="1" l="1"/>
  <c r="B177" i="1" s="1"/>
  <c r="C177" i="1" l="1"/>
  <c r="G177" i="1" s="1"/>
  <c r="H177" i="1" l="1"/>
  <c r="B178" i="1" s="1"/>
  <c r="C178" i="1" l="1"/>
  <c r="G178" i="1" s="1"/>
  <c r="H178" i="1" l="1"/>
  <c r="B179" i="1" s="1"/>
  <c r="C179" i="1" l="1"/>
  <c r="G179" i="1" s="1"/>
  <c r="H179" i="1" l="1"/>
  <c r="B180" i="1" s="1"/>
  <c r="C180" i="1" l="1"/>
  <c r="G180" i="1" s="1"/>
  <c r="H180" i="1" l="1"/>
  <c r="B181" i="1" s="1"/>
  <c r="C181" i="1" l="1"/>
  <c r="G181" i="1" s="1"/>
  <c r="H181" i="1" l="1"/>
  <c r="B182" i="1" s="1"/>
  <c r="C182" i="1" l="1"/>
  <c r="G182" i="1" s="1"/>
  <c r="H182" i="1" l="1"/>
  <c r="B183" i="1" s="1"/>
  <c r="C183" i="1" l="1"/>
  <c r="G183" i="1" s="1"/>
  <c r="H183" i="1" l="1"/>
  <c r="B184" i="1" s="1"/>
  <c r="C184" i="1" l="1"/>
  <c r="G184" i="1" s="1"/>
  <c r="H184" i="1" l="1"/>
  <c r="B185" i="1" s="1"/>
  <c r="C185" i="1" l="1"/>
  <c r="G185" i="1" s="1"/>
  <c r="H185" i="1" l="1"/>
  <c r="B186" i="1" s="1"/>
  <c r="C186" i="1" l="1"/>
  <c r="G186" i="1" s="1"/>
  <c r="H186" i="1" l="1"/>
  <c r="B187" i="1" s="1"/>
  <c r="C187" i="1" l="1"/>
  <c r="G187" i="1" s="1"/>
  <c r="H187" i="1" l="1"/>
  <c r="B188" i="1" s="1"/>
  <c r="C188" i="1" l="1"/>
  <c r="G188" i="1" s="1"/>
  <c r="H188" i="1" l="1"/>
  <c r="B189" i="1" s="1"/>
  <c r="C189" i="1" l="1"/>
  <c r="G189" i="1" s="1"/>
  <c r="H189" i="1" l="1"/>
  <c r="B190" i="1" s="1"/>
  <c r="C190" i="1" l="1"/>
  <c r="G190" i="1" s="1"/>
  <c r="H190" i="1" l="1"/>
  <c r="B191" i="1" s="1"/>
  <c r="C191" i="1" l="1"/>
  <c r="G191" i="1" l="1"/>
  <c r="H191" i="1" l="1"/>
  <c r="B192" i="1" l="1"/>
  <c r="C192" i="1" l="1"/>
  <c r="G192" i="1" l="1"/>
  <c r="H192" i="1" l="1"/>
  <c r="B193" i="1" l="1"/>
  <c r="C193" i="1" l="1"/>
  <c r="G193" i="1" l="1"/>
  <c r="H193" i="1" l="1"/>
  <c r="B194" i="1" l="1"/>
  <c r="C194" i="1" l="1"/>
  <c r="G194" i="1" l="1"/>
  <c r="H194" i="1" l="1"/>
  <c r="B195" i="1" s="1"/>
  <c r="C195" i="1" l="1"/>
  <c r="G195" i="1" l="1"/>
  <c r="H195" i="1" l="1"/>
  <c r="B196" i="1" s="1"/>
  <c r="C196" i="1" l="1"/>
  <c r="G196" i="1" s="1"/>
  <c r="H196" i="1" l="1"/>
  <c r="B197" i="1" s="1"/>
  <c r="C197" i="1" l="1"/>
  <c r="G197" i="1" s="1"/>
  <c r="H197" i="1" l="1"/>
  <c r="B198" i="1" s="1"/>
  <c r="C198" i="1" l="1"/>
  <c r="G198" i="1" s="1"/>
  <c r="H198" i="1" l="1"/>
  <c r="B199" i="1" s="1"/>
  <c r="C199" i="1" l="1"/>
  <c r="G199" i="1" s="1"/>
  <c r="H199" i="1" l="1"/>
  <c r="B200" i="1" s="1"/>
  <c r="C200" i="1" l="1"/>
  <c r="G200" i="1" s="1"/>
  <c r="H200" i="1" l="1"/>
  <c r="B201" i="1" s="1"/>
  <c r="C201" i="1" l="1"/>
  <c r="G201" i="1" s="1"/>
  <c r="H201" i="1" l="1"/>
  <c r="B202" i="1" s="1"/>
  <c r="C202" i="1" l="1"/>
  <c r="G202" i="1" s="1"/>
  <c r="H202" i="1" l="1"/>
  <c r="B203" i="1" s="1"/>
  <c r="C203" i="1" l="1"/>
  <c r="G203" i="1" s="1"/>
  <c r="H203" i="1" l="1"/>
  <c r="B204" i="1" s="1"/>
  <c r="C204" i="1" l="1"/>
  <c r="G204" i="1" s="1"/>
  <c r="H204" i="1" l="1"/>
  <c r="B205" i="1" s="1"/>
  <c r="C205" i="1" l="1"/>
  <c r="G205" i="1" s="1"/>
  <c r="H205" i="1" l="1"/>
  <c r="B206" i="1" s="1"/>
  <c r="C206" i="1" l="1"/>
  <c r="G206" i="1" s="1"/>
  <c r="H206" i="1" l="1"/>
  <c r="B207" i="1" s="1"/>
  <c r="C207" i="1" l="1"/>
  <c r="G207" i="1" s="1"/>
  <c r="H207" i="1" l="1"/>
  <c r="B208" i="1" s="1"/>
  <c r="C208" i="1" l="1"/>
  <c r="G208" i="1" s="1"/>
  <c r="H208" i="1" l="1"/>
  <c r="B209" i="1" s="1"/>
  <c r="H209" i="1" l="1"/>
  <c r="C209" i="1"/>
  <c r="G209" i="1" s="1"/>
  <c r="B210" i="1" l="1"/>
  <c r="C210" i="1" l="1"/>
  <c r="G210" i="1" s="1"/>
  <c r="H210" i="1" l="1"/>
  <c r="B211" i="1" s="1"/>
  <c r="C211" i="1" l="1"/>
  <c r="G211" i="1" s="1"/>
  <c r="H211" i="1" l="1"/>
  <c r="B212" i="1" s="1"/>
  <c r="C212" i="1" l="1"/>
  <c r="G212" i="1" s="1"/>
  <c r="H212" i="1" l="1"/>
  <c r="B213" i="1" s="1"/>
  <c r="C213" i="1" l="1"/>
  <c r="G213" i="1" s="1"/>
  <c r="H213" i="1" l="1"/>
  <c r="B214" i="1" s="1"/>
  <c r="C214" i="1" l="1"/>
  <c r="G214" i="1" s="1"/>
  <c r="H214" i="1" l="1"/>
  <c r="B215" i="1" s="1"/>
  <c r="C215" i="1" l="1"/>
  <c r="G215" i="1" s="1"/>
  <c r="H215" i="1" l="1"/>
  <c r="B216" i="1" s="1"/>
  <c r="C216" i="1" l="1"/>
  <c r="G216" i="1" s="1"/>
  <c r="H216" i="1" l="1"/>
  <c r="B217" i="1" s="1"/>
  <c r="C217" i="1" l="1"/>
  <c r="G217" i="1" s="1"/>
  <c r="H217" i="1" l="1"/>
  <c r="B218" i="1" s="1"/>
  <c r="C218" i="1" l="1"/>
  <c r="G218" i="1" s="1"/>
  <c r="H218" i="1" l="1"/>
  <c r="B219" i="1" s="1"/>
  <c r="C219" i="1" l="1"/>
  <c r="G219" i="1" s="1"/>
  <c r="H219" i="1" l="1"/>
  <c r="B220" i="1" s="1"/>
  <c r="C220" i="1" l="1"/>
  <c r="G220" i="1" s="1"/>
  <c r="H220" i="1" l="1"/>
  <c r="B221" i="1" s="1"/>
  <c r="C221" i="1" l="1"/>
  <c r="G221" i="1" s="1"/>
  <c r="H221" i="1" l="1"/>
  <c r="B222" i="1" s="1"/>
  <c r="C222" i="1" l="1"/>
  <c r="G222" i="1" s="1"/>
  <c r="H222" i="1" l="1"/>
  <c r="B223" i="1" s="1"/>
  <c r="C223" i="1" l="1"/>
  <c r="G223" i="1" s="1"/>
  <c r="H223" i="1" l="1"/>
  <c r="B224" i="1" s="1"/>
  <c r="C224" i="1" l="1"/>
  <c r="G224" i="1" s="1"/>
  <c r="H224" i="1" l="1"/>
  <c r="B225" i="1" s="1"/>
  <c r="C225" i="1" l="1"/>
  <c r="G225" i="1" s="1"/>
  <c r="H225" i="1" l="1"/>
  <c r="B226" i="1" s="1"/>
  <c r="C226" i="1" l="1"/>
  <c r="G226" i="1" s="1"/>
  <c r="H226" i="1" l="1"/>
  <c r="B227" i="1" s="1"/>
  <c r="C227" i="1" l="1"/>
  <c r="G227" i="1" s="1"/>
  <c r="H227" i="1" l="1"/>
  <c r="B228" i="1" s="1"/>
  <c r="C228" i="1" l="1"/>
  <c r="G228" i="1" s="1"/>
  <c r="H228" i="1" l="1"/>
  <c r="B229" i="1" s="1"/>
  <c r="C229" i="1" l="1"/>
  <c r="G229" i="1" s="1"/>
  <c r="H229" i="1" l="1"/>
  <c r="B230" i="1" s="1"/>
  <c r="C230" i="1" l="1"/>
  <c r="G230" i="1" s="1"/>
  <c r="H230" i="1" l="1"/>
  <c r="B231" i="1" s="1"/>
  <c r="C231" i="1" l="1"/>
  <c r="G231" i="1" s="1"/>
  <c r="H231" i="1" l="1"/>
  <c r="B232" i="1" s="1"/>
  <c r="C232" i="1" l="1"/>
  <c r="G232" i="1" s="1"/>
  <c r="H232" i="1" l="1"/>
  <c r="B233" i="1" s="1"/>
  <c r="C233" i="1" l="1"/>
  <c r="G233" i="1" s="1"/>
  <c r="H233" i="1" l="1"/>
  <c r="B234" i="1" s="1"/>
  <c r="C234" i="1" l="1"/>
  <c r="G234" i="1" s="1"/>
  <c r="H234" i="1" l="1"/>
  <c r="B235" i="1" s="1"/>
  <c r="C235" i="1" l="1"/>
  <c r="G235" i="1" s="1"/>
  <c r="H235" i="1" l="1"/>
  <c r="B236" i="1" s="1"/>
  <c r="C236" i="1" l="1"/>
  <c r="G236" i="1" s="1"/>
  <c r="H236" i="1" l="1"/>
  <c r="B237" i="1" s="1"/>
  <c r="C237" i="1" l="1"/>
  <c r="G237" i="1" s="1"/>
  <c r="H237" i="1" l="1"/>
  <c r="B238" i="1" s="1"/>
  <c r="C238" i="1" l="1"/>
  <c r="G238" i="1" s="1"/>
  <c r="H238" i="1" l="1"/>
  <c r="B239" i="1" s="1"/>
  <c r="C239" i="1" l="1"/>
  <c r="G239" i="1" s="1"/>
  <c r="H239" i="1" l="1"/>
  <c r="B240" i="1" s="1"/>
  <c r="C240" i="1" l="1"/>
  <c r="G240" i="1" s="1"/>
  <c r="H240" i="1" l="1"/>
  <c r="B241" i="1" s="1"/>
  <c r="C241" i="1" l="1"/>
  <c r="G241" i="1" s="1"/>
  <c r="H241" i="1" l="1"/>
  <c r="B242" i="1" s="1"/>
  <c r="C242" i="1" l="1"/>
  <c r="G242" i="1" s="1"/>
  <c r="H242" i="1" l="1"/>
  <c r="B243" i="1" s="1"/>
  <c r="C243" i="1" l="1"/>
  <c r="G243" i="1" s="1"/>
  <c r="H243" i="1" l="1"/>
  <c r="B244" i="1" s="1"/>
  <c r="C244" i="1" l="1"/>
  <c r="G244" i="1" s="1"/>
  <c r="H244" i="1" l="1"/>
  <c r="B245" i="1" s="1"/>
  <c r="C245" i="1" l="1"/>
  <c r="G245" i="1" s="1"/>
  <c r="H245" i="1" l="1"/>
  <c r="B246" i="1" s="1"/>
  <c r="C246" i="1" l="1"/>
  <c r="G246" i="1" s="1"/>
  <c r="H246" i="1" l="1"/>
  <c r="B247" i="1" s="1"/>
  <c r="C247" i="1" l="1"/>
  <c r="G247" i="1" s="1"/>
  <c r="H247" i="1" l="1"/>
  <c r="B248" i="1" s="1"/>
  <c r="C248" i="1" l="1"/>
  <c r="G248" i="1" s="1"/>
  <c r="H248" i="1" s="1"/>
  <c r="B249" i="1" l="1"/>
  <c r="C249" i="1" l="1"/>
  <c r="G249" i="1" s="1"/>
  <c r="H249" i="1" s="1"/>
  <c r="B250" i="1" l="1"/>
  <c r="C250" i="1" l="1"/>
  <c r="G250" i="1" s="1"/>
  <c r="H250" i="1" s="1"/>
  <c r="B251" i="1" l="1"/>
  <c r="C251" i="1" l="1"/>
  <c r="G251" i="1" s="1"/>
  <c r="H251" i="1" s="1"/>
  <c r="B252" i="1" l="1"/>
  <c r="C252" i="1" l="1"/>
  <c r="G252" i="1" s="1"/>
  <c r="H252" i="1" s="1"/>
  <c r="B253" i="1" l="1"/>
  <c r="C253" i="1" l="1"/>
  <c r="G253" i="1" s="1"/>
  <c r="H253" i="1" s="1"/>
  <c r="B254" i="1" l="1"/>
  <c r="C254" i="1" l="1"/>
  <c r="G254" i="1" s="1"/>
  <c r="H254" i="1" s="1"/>
  <c r="B255" i="1" l="1"/>
  <c r="C255" i="1" l="1"/>
  <c r="G255" i="1" s="1"/>
  <c r="H255" i="1" s="1"/>
  <c r="B256" i="1" l="1"/>
  <c r="C256" i="1" l="1"/>
  <c r="G256" i="1" s="1"/>
  <c r="H256" i="1" s="1"/>
  <c r="B257" i="1" l="1"/>
  <c r="C257" i="1" l="1"/>
  <c r="G257" i="1" s="1"/>
  <c r="H257" i="1" s="1"/>
  <c r="B258" i="1" l="1"/>
  <c r="C258" i="1" l="1"/>
  <c r="G258" i="1" s="1"/>
  <c r="H258" i="1" s="1"/>
  <c r="B259" i="1" l="1"/>
  <c r="C259" i="1" l="1"/>
  <c r="G259" i="1" s="1"/>
  <c r="H259" i="1" s="1"/>
  <c r="B260" i="1" l="1"/>
  <c r="C260" i="1" l="1"/>
  <c r="G260" i="1" s="1"/>
  <c r="H260" i="1" s="1"/>
  <c r="B261" i="1" l="1"/>
  <c r="C261" i="1" l="1"/>
  <c r="G261" i="1" s="1"/>
  <c r="H261" i="1" s="1"/>
  <c r="B262" i="1" l="1"/>
  <c r="C262" i="1" l="1"/>
  <c r="G262" i="1" s="1"/>
  <c r="H262" i="1" s="1"/>
  <c r="B263" i="1" l="1"/>
  <c r="C263" i="1" l="1"/>
  <c r="G263" i="1" s="1"/>
  <c r="H263" i="1" s="1"/>
  <c r="B264" i="1" l="1"/>
  <c r="C264" i="1" l="1"/>
  <c r="G264" i="1" s="1"/>
  <c r="H264" i="1" s="1"/>
  <c r="B265" i="1" l="1"/>
  <c r="C265" i="1" l="1"/>
  <c r="G265" i="1" s="1"/>
  <c r="H265" i="1" s="1"/>
  <c r="B266" i="1" l="1"/>
  <c r="C266" i="1" l="1"/>
  <c r="G266" i="1" s="1"/>
  <c r="H266" i="1" s="1"/>
  <c r="B267" i="1" l="1"/>
  <c r="C267" i="1" l="1"/>
  <c r="G267" i="1" s="1"/>
  <c r="H267" i="1"/>
  <c r="B268" i="1" l="1"/>
  <c r="C268" i="1" l="1"/>
  <c r="G268" i="1" s="1"/>
  <c r="H268" i="1"/>
  <c r="B269" i="1" l="1"/>
  <c r="C269" i="1" l="1"/>
  <c r="G269" i="1" s="1"/>
  <c r="H269" i="1"/>
  <c r="B270" i="1" l="1"/>
  <c r="C270" i="1" l="1"/>
  <c r="G270" i="1" s="1"/>
  <c r="H270" i="1" s="1"/>
  <c r="B271" i="1" l="1"/>
  <c r="C271" i="1" l="1"/>
  <c r="G271" i="1" s="1"/>
  <c r="H271" i="1"/>
  <c r="B272" i="1" l="1"/>
  <c r="C272" i="1" l="1"/>
  <c r="G272" i="1" s="1"/>
  <c r="H272" i="1"/>
  <c r="B273" i="1" l="1"/>
  <c r="C273" i="1" l="1"/>
  <c r="G273" i="1" s="1"/>
  <c r="H273" i="1" s="1"/>
  <c r="B274" i="1" l="1"/>
  <c r="C274" i="1" l="1"/>
  <c r="G274" i="1" s="1"/>
  <c r="H274" i="1"/>
  <c r="B275" i="1" l="1"/>
  <c r="C275" i="1" l="1"/>
  <c r="G275" i="1" s="1"/>
  <c r="H275" i="1"/>
  <c r="B276" i="1" l="1"/>
  <c r="C276" i="1" l="1"/>
  <c r="G276" i="1" s="1"/>
  <c r="H276" i="1"/>
  <c r="B277" i="1" l="1"/>
  <c r="C277" i="1" l="1"/>
  <c r="G277" i="1" s="1"/>
  <c r="H277" i="1"/>
  <c r="B278" i="1" l="1"/>
  <c r="C278" i="1" l="1"/>
  <c r="G278" i="1" s="1"/>
  <c r="H278" i="1"/>
  <c r="B279" i="1" l="1"/>
  <c r="C279" i="1" l="1"/>
  <c r="G279" i="1" s="1"/>
  <c r="H279" i="1"/>
  <c r="B280" i="1" l="1"/>
  <c r="C280" i="1" l="1"/>
  <c r="G280" i="1" s="1"/>
  <c r="H280" i="1"/>
  <c r="B281" i="1" l="1"/>
  <c r="C281" i="1" l="1"/>
  <c r="G281" i="1" s="1"/>
  <c r="H281" i="1"/>
  <c r="B282" i="1" l="1"/>
  <c r="C282" i="1" l="1"/>
  <c r="G282" i="1" s="1"/>
  <c r="H282" i="1"/>
  <c r="B283" i="1" l="1"/>
  <c r="C283" i="1" l="1"/>
  <c r="G283" i="1" s="1"/>
  <c r="H283" i="1"/>
  <c r="B284" i="1" l="1"/>
  <c r="C284" i="1" l="1"/>
  <c r="G284" i="1" s="1"/>
  <c r="H284" i="1"/>
  <c r="B285" i="1" l="1"/>
  <c r="C285" i="1" l="1"/>
  <c r="G285" i="1" s="1"/>
  <c r="H285" i="1"/>
  <c r="B286" i="1" l="1"/>
  <c r="C286" i="1" l="1"/>
  <c r="G286" i="1" s="1"/>
  <c r="H286" i="1"/>
  <c r="B287" i="1" l="1"/>
  <c r="C287" i="1" l="1"/>
  <c r="G287" i="1" s="1"/>
  <c r="H287" i="1"/>
  <c r="B288" i="1" l="1"/>
  <c r="C288" i="1" l="1"/>
  <c r="G288" i="1" s="1"/>
  <c r="H288" i="1"/>
  <c r="B289" i="1" l="1"/>
  <c r="C289" i="1" l="1"/>
  <c r="G289" i="1" s="1"/>
  <c r="H289" i="1"/>
  <c r="B290" i="1" l="1"/>
  <c r="C290" i="1" l="1"/>
  <c r="G290" i="1" s="1"/>
  <c r="H290" i="1"/>
  <c r="B291" i="1" l="1"/>
  <c r="C291" i="1" l="1"/>
  <c r="G291" i="1" s="1"/>
  <c r="H291" i="1"/>
  <c r="B292" i="1" l="1"/>
  <c r="C292" i="1" l="1"/>
  <c r="G292" i="1" s="1"/>
  <c r="H292" i="1"/>
  <c r="B293" i="1" l="1"/>
  <c r="C293" i="1" l="1"/>
  <c r="G293" i="1" s="1"/>
  <c r="H293" i="1"/>
  <c r="B294" i="1" l="1"/>
  <c r="C294" i="1" l="1"/>
  <c r="G294" i="1" s="1"/>
  <c r="H294" i="1"/>
  <c r="B295" i="1" l="1"/>
  <c r="C295" i="1" l="1"/>
  <c r="G295" i="1" s="1"/>
  <c r="H295" i="1"/>
  <c r="B296" i="1" l="1"/>
  <c r="C296" i="1" l="1"/>
  <c r="G296" i="1" s="1"/>
  <c r="H296" i="1"/>
  <c r="B297" i="1" l="1"/>
  <c r="C297" i="1" l="1"/>
  <c r="G297" i="1" s="1"/>
  <c r="H297" i="1"/>
  <c r="B298" i="1" l="1"/>
  <c r="C298" i="1" l="1"/>
  <c r="G298" i="1" s="1"/>
  <c r="H298" i="1"/>
  <c r="B299" i="1" l="1"/>
  <c r="C299" i="1" l="1"/>
  <c r="G299" i="1" s="1"/>
  <c r="H299" i="1"/>
  <c r="B300" i="1" l="1"/>
  <c r="C300" i="1" l="1"/>
  <c r="G300" i="1" s="1"/>
  <c r="H300" i="1"/>
  <c r="B301" i="1" l="1"/>
  <c r="C301" i="1" l="1"/>
  <c r="G301" i="1" s="1"/>
  <c r="H301" i="1"/>
  <c r="B302" i="1" l="1"/>
  <c r="C302" i="1" l="1"/>
  <c r="G302" i="1" s="1"/>
  <c r="H302" i="1"/>
  <c r="B303" i="1" l="1"/>
  <c r="C303" i="1" l="1"/>
  <c r="G303" i="1" s="1"/>
  <c r="H303" i="1"/>
  <c r="B304" i="1" l="1"/>
  <c r="C304" i="1" l="1"/>
  <c r="G304" i="1" s="1"/>
  <c r="H304" i="1"/>
  <c r="B305" i="1" l="1"/>
  <c r="C305" i="1" l="1"/>
  <c r="G305" i="1" s="1"/>
  <c r="H305" i="1"/>
  <c r="B306" i="1" l="1"/>
  <c r="C306" i="1" l="1"/>
  <c r="G306" i="1" s="1"/>
  <c r="H306" i="1"/>
  <c r="B307" i="1" l="1"/>
  <c r="C307" i="1" l="1"/>
  <c r="G307" i="1" s="1"/>
  <c r="H307" i="1"/>
  <c r="B308" i="1" l="1"/>
  <c r="C308" i="1" l="1"/>
  <c r="G308" i="1" s="1"/>
  <c r="H308" i="1"/>
  <c r="B309" i="1" l="1"/>
  <c r="C309" i="1" l="1"/>
  <c r="G309" i="1" s="1"/>
  <c r="H309" i="1"/>
  <c r="B310" i="1" l="1"/>
  <c r="C310" i="1" l="1"/>
  <c r="G310" i="1" s="1"/>
  <c r="H310" i="1"/>
  <c r="B311" i="1" l="1"/>
  <c r="C311" i="1" l="1"/>
  <c r="G311" i="1" s="1"/>
  <c r="H311" i="1"/>
  <c r="B312" i="1" l="1"/>
  <c r="C312" i="1" l="1"/>
  <c r="G312" i="1" s="1"/>
  <c r="H312" i="1"/>
  <c r="B313" i="1" l="1"/>
  <c r="C313" i="1" l="1"/>
  <c r="G313" i="1" s="1"/>
  <c r="H313" i="1"/>
  <c r="B314" i="1" l="1"/>
  <c r="C314" i="1" l="1"/>
  <c r="G314" i="1" s="1"/>
  <c r="H314" i="1"/>
  <c r="B315" i="1" l="1"/>
  <c r="C315" i="1" l="1"/>
  <c r="G315" i="1" s="1"/>
  <c r="H315" i="1"/>
  <c r="B316" i="1" l="1"/>
  <c r="C316" i="1" l="1"/>
  <c r="G316" i="1" s="1"/>
  <c r="H316" i="1"/>
  <c r="B317" i="1" l="1"/>
  <c r="C317" i="1" l="1"/>
  <c r="G317" i="1" s="1"/>
  <c r="H317" i="1"/>
  <c r="B318" i="1" l="1"/>
  <c r="C318" i="1" l="1"/>
  <c r="G318" i="1" s="1"/>
  <c r="H318" i="1"/>
  <c r="B319" i="1" l="1"/>
  <c r="C319" i="1" l="1"/>
  <c r="G319" i="1" s="1"/>
  <c r="H319" i="1"/>
  <c r="B320" i="1" l="1"/>
  <c r="C320" i="1" l="1"/>
  <c r="G320" i="1" s="1"/>
  <c r="H320" i="1"/>
  <c r="B321" i="1" l="1"/>
  <c r="C321" i="1" l="1"/>
  <c r="G321" i="1" s="1"/>
  <c r="H321" i="1"/>
  <c r="B322" i="1" l="1"/>
  <c r="C322" i="1" l="1"/>
  <c r="G322" i="1" s="1"/>
  <c r="H322" i="1"/>
  <c r="B323" i="1" l="1"/>
  <c r="C323" i="1" l="1"/>
  <c r="G323" i="1" s="1"/>
  <c r="H323" i="1"/>
  <c r="B324" i="1" l="1"/>
  <c r="C324" i="1" l="1"/>
  <c r="G324" i="1" s="1"/>
  <c r="H324" i="1" l="1"/>
  <c r="B325" i="1" s="1"/>
  <c r="C325" i="1" l="1"/>
  <c r="G325" i="1" s="1"/>
  <c r="H325" i="1" s="1"/>
  <c r="B326" i="1" l="1"/>
  <c r="C326" i="1" l="1"/>
  <c r="G326" i="1" s="1"/>
  <c r="H326" i="1"/>
  <c r="B327" i="1" l="1"/>
  <c r="C327" i="1" l="1"/>
  <c r="G327" i="1" s="1"/>
  <c r="H327" i="1"/>
  <c r="B328" i="1" l="1"/>
  <c r="C328" i="1" l="1"/>
  <c r="G328" i="1" s="1"/>
  <c r="H328" i="1"/>
  <c r="B329" i="1" l="1"/>
  <c r="C329" i="1" l="1"/>
  <c r="G329" i="1" s="1"/>
  <c r="H329" i="1"/>
  <c r="B330" i="1" l="1"/>
  <c r="C330" i="1" l="1"/>
  <c r="G330" i="1" s="1"/>
  <c r="H330" i="1"/>
  <c r="B331" i="1" l="1"/>
  <c r="C331" i="1" l="1"/>
  <c r="G331" i="1" s="1"/>
  <c r="H331" i="1"/>
  <c r="B332" i="1" l="1"/>
  <c r="C332" i="1" l="1"/>
  <c r="G332" i="1" s="1"/>
  <c r="H332" i="1"/>
  <c r="B333" i="1" l="1"/>
  <c r="C333" i="1" l="1"/>
  <c r="G333" i="1" s="1"/>
  <c r="H333" i="1"/>
  <c r="B334" i="1" l="1"/>
  <c r="C334" i="1" l="1"/>
  <c r="G334" i="1" s="1"/>
  <c r="H334" i="1"/>
  <c r="B335" i="1" l="1"/>
  <c r="C335" i="1" l="1"/>
  <c r="G335" i="1" s="1"/>
  <c r="H335" i="1"/>
  <c r="B336" i="1" l="1"/>
  <c r="C336" i="1" l="1"/>
  <c r="G336" i="1" s="1"/>
  <c r="H336" i="1"/>
  <c r="B337" i="1" l="1"/>
  <c r="C337" i="1" l="1"/>
  <c r="G337" i="1" s="1"/>
  <c r="H337" i="1"/>
  <c r="B338" i="1" l="1"/>
  <c r="C338" i="1" l="1"/>
  <c r="G338" i="1" s="1"/>
  <c r="H338" i="1"/>
  <c r="B339" i="1" l="1"/>
  <c r="C339" i="1" l="1"/>
  <c r="G339" i="1" s="1"/>
  <c r="H339" i="1"/>
  <c r="B340" i="1" l="1"/>
  <c r="C340" i="1" l="1"/>
  <c r="G340" i="1" s="1"/>
  <c r="H340" i="1"/>
  <c r="B341" i="1" l="1"/>
  <c r="C341" i="1" l="1"/>
  <c r="G341" i="1" s="1"/>
  <c r="H341" i="1"/>
  <c r="B342" i="1" l="1"/>
  <c r="C342" i="1" l="1"/>
  <c r="G342" i="1" s="1"/>
  <c r="H342" i="1"/>
  <c r="B343" i="1" l="1"/>
  <c r="C343" i="1" l="1"/>
  <c r="G343" i="1" s="1"/>
  <c r="H343" i="1"/>
  <c r="B344" i="1" l="1"/>
  <c r="C344" i="1" l="1"/>
  <c r="G344" i="1" s="1"/>
  <c r="H344" i="1"/>
  <c r="B345" i="1" l="1"/>
  <c r="C345" i="1" l="1"/>
  <c r="G345" i="1" s="1"/>
  <c r="H345" i="1"/>
  <c r="B346" i="1" l="1"/>
  <c r="C346" i="1" l="1"/>
  <c r="G346" i="1" s="1"/>
  <c r="H346" i="1"/>
  <c r="B347" i="1" l="1"/>
  <c r="C347" i="1" l="1"/>
  <c r="G347" i="1" s="1"/>
  <c r="H347" i="1"/>
  <c r="B348" i="1" l="1"/>
  <c r="C348" i="1" l="1"/>
  <c r="G348" i="1" s="1"/>
  <c r="H348" i="1"/>
  <c r="B349" i="1" l="1"/>
  <c r="C349" i="1" l="1"/>
  <c r="G349" i="1" s="1"/>
  <c r="H349" i="1"/>
  <c r="B350" i="1" l="1"/>
  <c r="C350" i="1" l="1"/>
  <c r="G350" i="1" s="1"/>
  <c r="H350" i="1"/>
  <c r="B351" i="1" l="1"/>
  <c r="C351" i="1" l="1"/>
  <c r="G351" i="1" s="1"/>
  <c r="H351" i="1"/>
  <c r="B352" i="1" l="1"/>
  <c r="C352" i="1" l="1"/>
  <c r="G352" i="1" s="1"/>
  <c r="H352" i="1"/>
  <c r="B353" i="1" l="1"/>
  <c r="C353" i="1" l="1"/>
  <c r="G353" i="1" s="1"/>
  <c r="H353" i="1"/>
  <c r="B354" i="1" l="1"/>
  <c r="C354" i="1" l="1"/>
  <c r="G354" i="1" s="1"/>
  <c r="H354" i="1"/>
  <c r="B355" i="1" l="1"/>
  <c r="C355" i="1" l="1"/>
  <c r="G355" i="1" s="1"/>
  <c r="H355" i="1"/>
  <c r="B356" i="1" l="1"/>
  <c r="C356" i="1" l="1"/>
  <c r="G356" i="1" s="1"/>
  <c r="H356" i="1"/>
  <c r="B357" i="1" l="1"/>
  <c r="C357" i="1" l="1"/>
  <c r="G357" i="1" s="1"/>
  <c r="H357" i="1"/>
  <c r="B358" i="1" l="1"/>
  <c r="C358" i="1" l="1"/>
  <c r="G358" i="1" s="1"/>
  <c r="H358" i="1"/>
  <c r="B359" i="1" l="1"/>
  <c r="C359" i="1" l="1"/>
  <c r="G359" i="1" s="1"/>
  <c r="H359" i="1"/>
  <c r="B360" i="1" l="1"/>
  <c r="C360" i="1" l="1"/>
  <c r="G360" i="1" s="1"/>
  <c r="H360" i="1"/>
  <c r="B361" i="1" l="1"/>
  <c r="C361" i="1" l="1"/>
  <c r="G361" i="1" s="1"/>
  <c r="H361" i="1"/>
  <c r="B362" i="1" l="1"/>
  <c r="C362" i="1" l="1"/>
  <c r="G362" i="1" s="1"/>
  <c r="H362" i="1"/>
  <c r="B363" i="1" l="1"/>
  <c r="C363" i="1" l="1"/>
  <c r="G363" i="1" s="1"/>
  <c r="H363" i="1"/>
  <c r="B364" i="1" l="1"/>
  <c r="C364" i="1" l="1"/>
  <c r="G364" i="1" s="1"/>
  <c r="H364" i="1"/>
  <c r="B365" i="1" l="1"/>
  <c r="C365" i="1" l="1"/>
  <c r="G365" i="1" s="1"/>
  <c r="H365" i="1"/>
  <c r="B366" i="1" l="1"/>
  <c r="C366" i="1" l="1"/>
  <c r="G366" i="1" l="1"/>
  <c r="H366" i="1" s="1"/>
  <c r="E4" i="1" s="1"/>
  <c r="E2" i="1"/>
  <c r="H2" i="1" s="1"/>
</calcChain>
</file>

<file path=xl/sharedStrings.xml><?xml version="1.0" encoding="utf-8"?>
<sst xmlns="http://schemas.openxmlformats.org/spreadsheetml/2006/main" count="18" uniqueCount="17">
  <si>
    <t>Home Loan Amount</t>
  </si>
  <si>
    <t>Scheduled Monthly EMI</t>
  </si>
  <si>
    <t>Interest Rate (%)</t>
  </si>
  <si>
    <t>Total Interest Paid</t>
  </si>
  <si>
    <t>Loan Tenure (Months)</t>
  </si>
  <si>
    <t>Total Extra Payments</t>
  </si>
  <si>
    <t>Actual Term (Months)</t>
  </si>
  <si>
    <t>Month No</t>
  </si>
  <si>
    <t>Opening Balance</t>
  </si>
  <si>
    <t>Interest</t>
  </si>
  <si>
    <t>Regular Payment</t>
  </si>
  <si>
    <t>Extra Payment</t>
  </si>
  <si>
    <t>Total Payment</t>
  </si>
  <si>
    <t>Principal Paid</t>
  </si>
  <si>
    <t>Closing Balance</t>
  </si>
  <si>
    <t>Intrest saved</t>
  </si>
  <si>
    <t>Total Interest to be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</si>
</sst>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Outstanding Balance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'Loan Calculator'!$H$6</c:f>
              <c:strCache>
                <c:ptCount val="1"/>
                <c:pt idx="0">
                  <c:v>Closing Balance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'Loan Calculator'!$A$7:$A$126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'Loan Calculator'!$H$7:$H$126</c:f>
              <c:numCache>
                <c:formatCode>#,##0.00</c:formatCode>
                <c:ptCount val="120"/>
                <c:pt idx="0">
                  <c:v>9982051.3399999999</c:v>
                </c:pt>
                <c:pt idx="1">
                  <c:v>9963989.75</c:v>
                </c:pt>
                <c:pt idx="2">
                  <c:v>9945814.5199999996</c:v>
                </c:pt>
                <c:pt idx="3">
                  <c:v>9927524.9399999995</c:v>
                </c:pt>
                <c:pt idx="4">
                  <c:v>9909120.2899999991</c:v>
                </c:pt>
                <c:pt idx="5">
                  <c:v>9890599.8399999999</c:v>
                </c:pt>
                <c:pt idx="6">
                  <c:v>9871962.8699999992</c:v>
                </c:pt>
                <c:pt idx="7">
                  <c:v>9853208.6399999987</c:v>
                </c:pt>
                <c:pt idx="8">
                  <c:v>9834336.4099999983</c:v>
                </c:pt>
                <c:pt idx="9">
                  <c:v>9815345.4499999974</c:v>
                </c:pt>
                <c:pt idx="10">
                  <c:v>9796234.9999999981</c:v>
                </c:pt>
                <c:pt idx="11">
                  <c:v>9777004.3199999984</c:v>
                </c:pt>
                <c:pt idx="12">
                  <c:v>9757652.6399999987</c:v>
                </c:pt>
                <c:pt idx="13">
                  <c:v>9738179.209999999</c:v>
                </c:pt>
                <c:pt idx="14">
                  <c:v>9718583.2599999998</c:v>
                </c:pt>
                <c:pt idx="15">
                  <c:v>9698864.0199999996</c:v>
                </c:pt>
                <c:pt idx="16">
                  <c:v>9679020.709999999</c:v>
                </c:pt>
                <c:pt idx="17">
                  <c:v>9659052.5499999989</c:v>
                </c:pt>
                <c:pt idx="18">
                  <c:v>9638958.7599999998</c:v>
                </c:pt>
                <c:pt idx="19">
                  <c:v>9618738.5499999989</c:v>
                </c:pt>
                <c:pt idx="20">
                  <c:v>9598391.1199999992</c:v>
                </c:pt>
                <c:pt idx="21">
                  <c:v>9577915.6699999999</c:v>
                </c:pt>
                <c:pt idx="22">
                  <c:v>9557311.3900000006</c:v>
                </c:pt>
                <c:pt idx="23">
                  <c:v>9536577.4800000004</c:v>
                </c:pt>
                <c:pt idx="24">
                  <c:v>9515713.120000001</c:v>
                </c:pt>
                <c:pt idx="25">
                  <c:v>9494717.4900000002</c:v>
                </c:pt>
                <c:pt idx="26">
                  <c:v>9473589.7599999998</c:v>
                </c:pt>
                <c:pt idx="27">
                  <c:v>9452329.0999999996</c:v>
                </c:pt>
                <c:pt idx="28">
                  <c:v>9430934.6699999999</c:v>
                </c:pt>
                <c:pt idx="29">
                  <c:v>9409405.6400000006</c:v>
                </c:pt>
                <c:pt idx="30">
                  <c:v>9387741.1500000004</c:v>
                </c:pt>
                <c:pt idx="31">
                  <c:v>9365940.3600000013</c:v>
                </c:pt>
                <c:pt idx="32">
                  <c:v>9344002.4000000004</c:v>
                </c:pt>
                <c:pt idx="33">
                  <c:v>9321926.4199999999</c:v>
                </c:pt>
                <c:pt idx="34">
                  <c:v>9299711.5399999991</c:v>
                </c:pt>
                <c:pt idx="35">
                  <c:v>9277356.8999999985</c:v>
                </c:pt>
                <c:pt idx="36">
                  <c:v>9254861.6099999994</c:v>
                </c:pt>
                <c:pt idx="37">
                  <c:v>9232224.7799999993</c:v>
                </c:pt>
                <c:pt idx="38">
                  <c:v>9209445.5299999993</c:v>
                </c:pt>
                <c:pt idx="39">
                  <c:v>9186522.959999999</c:v>
                </c:pt>
                <c:pt idx="40">
                  <c:v>9163456.1699999999</c:v>
                </c:pt>
                <c:pt idx="41">
                  <c:v>9140244.25</c:v>
                </c:pt>
                <c:pt idx="42">
                  <c:v>9116886.2899999991</c:v>
                </c:pt>
                <c:pt idx="43">
                  <c:v>9093381.3699999992</c:v>
                </c:pt>
                <c:pt idx="44">
                  <c:v>9069728.5599999987</c:v>
                </c:pt>
                <c:pt idx="45">
                  <c:v>9045926.9399999995</c:v>
                </c:pt>
                <c:pt idx="46">
                  <c:v>9021975.5700000003</c:v>
                </c:pt>
                <c:pt idx="47">
                  <c:v>8997873.5</c:v>
                </c:pt>
                <c:pt idx="48">
                  <c:v>8973619.7899999991</c:v>
                </c:pt>
                <c:pt idx="49">
                  <c:v>8949213.4799999986</c:v>
                </c:pt>
                <c:pt idx="50">
                  <c:v>8924653.6199999992</c:v>
                </c:pt>
                <c:pt idx="51">
                  <c:v>8899939.2399999984</c:v>
                </c:pt>
                <c:pt idx="52">
                  <c:v>8875069.3599999975</c:v>
                </c:pt>
                <c:pt idx="53">
                  <c:v>8850043.0099999979</c:v>
                </c:pt>
                <c:pt idx="54">
                  <c:v>8824859.1999999974</c:v>
                </c:pt>
                <c:pt idx="55">
                  <c:v>8799516.9399999976</c:v>
                </c:pt>
                <c:pt idx="56">
                  <c:v>8774015.2399999984</c:v>
                </c:pt>
                <c:pt idx="57">
                  <c:v>8748353.089999998</c:v>
                </c:pt>
                <c:pt idx="58">
                  <c:v>8722529.4799999986</c:v>
                </c:pt>
                <c:pt idx="59">
                  <c:v>8696543.3999999985</c:v>
                </c:pt>
                <c:pt idx="60">
                  <c:v>8670393.8199999984</c:v>
                </c:pt>
                <c:pt idx="61">
                  <c:v>8644079.7199999988</c:v>
                </c:pt>
                <c:pt idx="62">
                  <c:v>8617600.0599999987</c:v>
                </c:pt>
                <c:pt idx="63">
                  <c:v>8590953.7999999989</c:v>
                </c:pt>
                <c:pt idx="64">
                  <c:v>8564139.8899999987</c:v>
                </c:pt>
                <c:pt idx="65">
                  <c:v>8537157.2699999996</c:v>
                </c:pt>
                <c:pt idx="66">
                  <c:v>8510004.8899999987</c:v>
                </c:pt>
                <c:pt idx="67">
                  <c:v>8482681.6699999981</c:v>
                </c:pt>
                <c:pt idx="68">
                  <c:v>8455186.5499999989</c:v>
                </c:pt>
                <c:pt idx="69">
                  <c:v>8427518.4399999995</c:v>
                </c:pt>
                <c:pt idx="70">
                  <c:v>8399676.25</c:v>
                </c:pt>
                <c:pt idx="71">
                  <c:v>8371658.8799999999</c:v>
                </c:pt>
                <c:pt idx="72">
                  <c:v>8343465.2400000002</c:v>
                </c:pt>
                <c:pt idx="73">
                  <c:v>8315094.21</c:v>
                </c:pt>
                <c:pt idx="74">
                  <c:v>8286544.6799999997</c:v>
                </c:pt>
                <c:pt idx="75">
                  <c:v>8257815.5299999993</c:v>
                </c:pt>
                <c:pt idx="76">
                  <c:v>8228905.6199999992</c:v>
                </c:pt>
                <c:pt idx="77">
                  <c:v>8199813.8199999994</c:v>
                </c:pt>
                <c:pt idx="78">
                  <c:v>8170538.9899999993</c:v>
                </c:pt>
                <c:pt idx="79">
                  <c:v>8141079.9699999997</c:v>
                </c:pt>
                <c:pt idx="80">
                  <c:v>8111435.5999999996</c:v>
                </c:pt>
                <c:pt idx="81">
                  <c:v>8081604.7199999997</c:v>
                </c:pt>
                <c:pt idx="82">
                  <c:v>8051586.1499999994</c:v>
                </c:pt>
                <c:pt idx="83">
                  <c:v>8021378.7199999997</c:v>
                </c:pt>
                <c:pt idx="84">
                  <c:v>7990981.2299999995</c:v>
                </c:pt>
                <c:pt idx="85">
                  <c:v>7960392.4899999993</c:v>
                </c:pt>
                <c:pt idx="86">
                  <c:v>7929611.2999999989</c:v>
                </c:pt>
                <c:pt idx="87">
                  <c:v>7898636.4399999985</c:v>
                </c:pt>
                <c:pt idx="88">
                  <c:v>7867466.6999999983</c:v>
                </c:pt>
                <c:pt idx="89">
                  <c:v>7836100.8499999987</c:v>
                </c:pt>
                <c:pt idx="90">
                  <c:v>7804537.6499999985</c:v>
                </c:pt>
                <c:pt idx="91">
                  <c:v>7772775.8699999982</c:v>
                </c:pt>
                <c:pt idx="92">
                  <c:v>7740814.2499999981</c:v>
                </c:pt>
                <c:pt idx="93">
                  <c:v>7708651.5399999982</c:v>
                </c:pt>
                <c:pt idx="94">
                  <c:v>7676286.4799999986</c:v>
                </c:pt>
                <c:pt idx="95">
                  <c:v>7643717.7899999982</c:v>
                </c:pt>
                <c:pt idx="96">
                  <c:v>7610944.1799999978</c:v>
                </c:pt>
                <c:pt idx="97">
                  <c:v>7577964.3699999982</c:v>
                </c:pt>
                <c:pt idx="98">
                  <c:v>7544777.0699999984</c:v>
                </c:pt>
                <c:pt idx="99">
                  <c:v>7511380.9599999981</c:v>
                </c:pt>
                <c:pt idx="100">
                  <c:v>7477774.7399999984</c:v>
                </c:pt>
                <c:pt idx="101">
                  <c:v>7443957.0799999982</c:v>
                </c:pt>
                <c:pt idx="102">
                  <c:v>7409926.6499999985</c:v>
                </c:pt>
                <c:pt idx="103">
                  <c:v>7375682.1099999985</c:v>
                </c:pt>
                <c:pt idx="104">
                  <c:v>7341222.1099999985</c:v>
                </c:pt>
                <c:pt idx="105">
                  <c:v>7306545.2999999989</c:v>
                </c:pt>
                <c:pt idx="106">
                  <c:v>7271650.3199999984</c:v>
                </c:pt>
                <c:pt idx="107">
                  <c:v>7236535.7899999982</c:v>
                </c:pt>
                <c:pt idx="108">
                  <c:v>7201200.3299999982</c:v>
                </c:pt>
                <c:pt idx="109">
                  <c:v>7165642.549999998</c:v>
                </c:pt>
                <c:pt idx="110">
                  <c:v>7129861.049999998</c:v>
                </c:pt>
                <c:pt idx="111">
                  <c:v>7093854.4299999978</c:v>
                </c:pt>
                <c:pt idx="112">
                  <c:v>7057621.2699999977</c:v>
                </c:pt>
                <c:pt idx="113">
                  <c:v>7021160.1399999978</c:v>
                </c:pt>
                <c:pt idx="114">
                  <c:v>6984469.6099999975</c:v>
                </c:pt>
                <c:pt idx="115">
                  <c:v>6947548.2299999977</c:v>
                </c:pt>
                <c:pt idx="116">
                  <c:v>6910394.5599999977</c:v>
                </c:pt>
                <c:pt idx="117">
                  <c:v>6873007.129999998</c:v>
                </c:pt>
                <c:pt idx="118">
                  <c:v>6835384.4699999979</c:v>
                </c:pt>
                <c:pt idx="119">
                  <c:v>6797525.0999999978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74-4B7D-8C56-3ACBE58DF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Principal vs Interest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'Loan Calculator'!$C$6</c:f>
              <c:strCache>
                <c:ptCount val="1"/>
                <c:pt idx="0">
                  <c:v>Interest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'Loan Calculator'!$A$7:$A$126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'Loan Calculator'!$C$7:$C$126</c:f>
              <c:numCache>
                <c:formatCode>#,##0.00</c:formatCode>
                <c:ptCount val="120"/>
                <c:pt idx="0">
                  <c:v>62916.67</c:v>
                </c:pt>
                <c:pt idx="1">
                  <c:v>62803.74</c:v>
                </c:pt>
                <c:pt idx="2">
                  <c:v>62690.1</c:v>
                </c:pt>
                <c:pt idx="3">
                  <c:v>62575.75</c:v>
                </c:pt>
                <c:pt idx="4">
                  <c:v>62460.68</c:v>
                </c:pt>
                <c:pt idx="5">
                  <c:v>62344.88</c:v>
                </c:pt>
                <c:pt idx="6">
                  <c:v>62228.36</c:v>
                </c:pt>
                <c:pt idx="7">
                  <c:v>62111.1</c:v>
                </c:pt>
                <c:pt idx="8">
                  <c:v>61993.1</c:v>
                </c:pt>
                <c:pt idx="9">
                  <c:v>61874.37</c:v>
                </c:pt>
                <c:pt idx="10">
                  <c:v>61754.879999999997</c:v>
                </c:pt>
                <c:pt idx="11">
                  <c:v>61634.65</c:v>
                </c:pt>
                <c:pt idx="12">
                  <c:v>61513.65</c:v>
                </c:pt>
                <c:pt idx="13">
                  <c:v>61391.9</c:v>
                </c:pt>
                <c:pt idx="14">
                  <c:v>61269.38</c:v>
                </c:pt>
                <c:pt idx="15">
                  <c:v>61146.09</c:v>
                </c:pt>
                <c:pt idx="16">
                  <c:v>61022.02</c:v>
                </c:pt>
                <c:pt idx="17">
                  <c:v>60897.17</c:v>
                </c:pt>
                <c:pt idx="18">
                  <c:v>60771.54</c:v>
                </c:pt>
                <c:pt idx="19">
                  <c:v>60645.120000000003</c:v>
                </c:pt>
                <c:pt idx="20">
                  <c:v>60517.9</c:v>
                </c:pt>
                <c:pt idx="21">
                  <c:v>60389.88</c:v>
                </c:pt>
                <c:pt idx="22">
                  <c:v>60261.05</c:v>
                </c:pt>
                <c:pt idx="23">
                  <c:v>60131.42</c:v>
                </c:pt>
                <c:pt idx="24">
                  <c:v>60000.97</c:v>
                </c:pt>
                <c:pt idx="25">
                  <c:v>59869.7</c:v>
                </c:pt>
                <c:pt idx="26">
                  <c:v>59737.599999999999</c:v>
                </c:pt>
                <c:pt idx="27">
                  <c:v>59604.67</c:v>
                </c:pt>
                <c:pt idx="28">
                  <c:v>59470.9</c:v>
                </c:pt>
                <c:pt idx="29">
                  <c:v>59336.3</c:v>
                </c:pt>
                <c:pt idx="30">
                  <c:v>59200.84</c:v>
                </c:pt>
                <c:pt idx="31">
                  <c:v>59064.54</c:v>
                </c:pt>
                <c:pt idx="32">
                  <c:v>58927.37</c:v>
                </c:pt>
                <c:pt idx="33">
                  <c:v>58789.35</c:v>
                </c:pt>
                <c:pt idx="34">
                  <c:v>58650.45</c:v>
                </c:pt>
                <c:pt idx="35">
                  <c:v>58510.69</c:v>
                </c:pt>
                <c:pt idx="36">
                  <c:v>58370.04</c:v>
                </c:pt>
                <c:pt idx="37">
                  <c:v>58228.5</c:v>
                </c:pt>
                <c:pt idx="38">
                  <c:v>58086.080000000002</c:v>
                </c:pt>
                <c:pt idx="39">
                  <c:v>57942.76</c:v>
                </c:pt>
                <c:pt idx="40">
                  <c:v>57798.54</c:v>
                </c:pt>
                <c:pt idx="41">
                  <c:v>57653.41</c:v>
                </c:pt>
                <c:pt idx="42">
                  <c:v>57507.37</c:v>
                </c:pt>
                <c:pt idx="43">
                  <c:v>57360.41</c:v>
                </c:pt>
                <c:pt idx="44">
                  <c:v>57212.52</c:v>
                </c:pt>
                <c:pt idx="45">
                  <c:v>57063.71</c:v>
                </c:pt>
                <c:pt idx="46">
                  <c:v>56913.96</c:v>
                </c:pt>
                <c:pt idx="47">
                  <c:v>56763.26</c:v>
                </c:pt>
                <c:pt idx="48">
                  <c:v>56611.62</c:v>
                </c:pt>
                <c:pt idx="49">
                  <c:v>56459.02</c:v>
                </c:pt>
                <c:pt idx="50">
                  <c:v>56305.47</c:v>
                </c:pt>
                <c:pt idx="51">
                  <c:v>56150.95</c:v>
                </c:pt>
                <c:pt idx="52">
                  <c:v>55995.45</c:v>
                </c:pt>
                <c:pt idx="53">
                  <c:v>55838.98</c:v>
                </c:pt>
                <c:pt idx="54">
                  <c:v>55681.52</c:v>
                </c:pt>
                <c:pt idx="55">
                  <c:v>55523.07</c:v>
                </c:pt>
                <c:pt idx="56">
                  <c:v>55363.63</c:v>
                </c:pt>
                <c:pt idx="57">
                  <c:v>55203.18</c:v>
                </c:pt>
                <c:pt idx="58">
                  <c:v>55041.72</c:v>
                </c:pt>
                <c:pt idx="59">
                  <c:v>54879.25</c:v>
                </c:pt>
                <c:pt idx="60">
                  <c:v>54715.75</c:v>
                </c:pt>
                <c:pt idx="61">
                  <c:v>54551.23</c:v>
                </c:pt>
                <c:pt idx="62">
                  <c:v>54385.67</c:v>
                </c:pt>
                <c:pt idx="63">
                  <c:v>54219.07</c:v>
                </c:pt>
                <c:pt idx="64">
                  <c:v>54051.42</c:v>
                </c:pt>
                <c:pt idx="65">
                  <c:v>53882.71</c:v>
                </c:pt>
                <c:pt idx="66">
                  <c:v>53712.95</c:v>
                </c:pt>
                <c:pt idx="67">
                  <c:v>53542.11</c:v>
                </c:pt>
                <c:pt idx="68">
                  <c:v>53370.21</c:v>
                </c:pt>
                <c:pt idx="69">
                  <c:v>53197.22</c:v>
                </c:pt>
                <c:pt idx="70">
                  <c:v>53023.14</c:v>
                </c:pt>
                <c:pt idx="71">
                  <c:v>52847.96</c:v>
                </c:pt>
                <c:pt idx="72">
                  <c:v>52671.69</c:v>
                </c:pt>
                <c:pt idx="73">
                  <c:v>52494.3</c:v>
                </c:pt>
                <c:pt idx="74">
                  <c:v>52315.8</c:v>
                </c:pt>
                <c:pt idx="75">
                  <c:v>52136.18</c:v>
                </c:pt>
                <c:pt idx="76">
                  <c:v>51955.42</c:v>
                </c:pt>
                <c:pt idx="77">
                  <c:v>51773.53</c:v>
                </c:pt>
                <c:pt idx="78">
                  <c:v>51590.5</c:v>
                </c:pt>
                <c:pt idx="79">
                  <c:v>51406.31</c:v>
                </c:pt>
                <c:pt idx="80">
                  <c:v>51220.959999999999</c:v>
                </c:pt>
                <c:pt idx="81">
                  <c:v>51034.45</c:v>
                </c:pt>
                <c:pt idx="82">
                  <c:v>50846.76</c:v>
                </c:pt>
                <c:pt idx="83">
                  <c:v>50657.9</c:v>
                </c:pt>
                <c:pt idx="84">
                  <c:v>50467.839999999997</c:v>
                </c:pt>
                <c:pt idx="85">
                  <c:v>50276.59</c:v>
                </c:pt>
                <c:pt idx="86">
                  <c:v>50084.14</c:v>
                </c:pt>
                <c:pt idx="87">
                  <c:v>49890.47</c:v>
                </c:pt>
                <c:pt idx="88">
                  <c:v>49695.59</c:v>
                </c:pt>
                <c:pt idx="89">
                  <c:v>49499.48</c:v>
                </c:pt>
                <c:pt idx="90">
                  <c:v>49302.13</c:v>
                </c:pt>
                <c:pt idx="91">
                  <c:v>49103.55</c:v>
                </c:pt>
                <c:pt idx="92">
                  <c:v>48903.71</c:v>
                </c:pt>
                <c:pt idx="93">
                  <c:v>48702.62</c:v>
                </c:pt>
                <c:pt idx="94">
                  <c:v>48500.27</c:v>
                </c:pt>
                <c:pt idx="95">
                  <c:v>48296.639999999999</c:v>
                </c:pt>
                <c:pt idx="96">
                  <c:v>48091.72</c:v>
                </c:pt>
                <c:pt idx="97">
                  <c:v>47885.52</c:v>
                </c:pt>
                <c:pt idx="98">
                  <c:v>47678.03</c:v>
                </c:pt>
                <c:pt idx="99">
                  <c:v>47469.22</c:v>
                </c:pt>
                <c:pt idx="100">
                  <c:v>47259.11</c:v>
                </c:pt>
                <c:pt idx="101">
                  <c:v>47047.67</c:v>
                </c:pt>
                <c:pt idx="102">
                  <c:v>46834.9</c:v>
                </c:pt>
                <c:pt idx="103">
                  <c:v>46620.79</c:v>
                </c:pt>
                <c:pt idx="104">
                  <c:v>46405.33</c:v>
                </c:pt>
                <c:pt idx="105">
                  <c:v>46188.52</c:v>
                </c:pt>
                <c:pt idx="106">
                  <c:v>45970.35</c:v>
                </c:pt>
                <c:pt idx="107">
                  <c:v>45750.8</c:v>
                </c:pt>
                <c:pt idx="108">
                  <c:v>45529.87</c:v>
                </c:pt>
                <c:pt idx="109">
                  <c:v>45307.55</c:v>
                </c:pt>
                <c:pt idx="110">
                  <c:v>45083.83</c:v>
                </c:pt>
                <c:pt idx="111">
                  <c:v>44858.71</c:v>
                </c:pt>
                <c:pt idx="112">
                  <c:v>44632.17</c:v>
                </c:pt>
                <c:pt idx="113">
                  <c:v>44404.2</c:v>
                </c:pt>
                <c:pt idx="114">
                  <c:v>44174.8</c:v>
                </c:pt>
                <c:pt idx="115">
                  <c:v>43943.95</c:v>
                </c:pt>
                <c:pt idx="116">
                  <c:v>43711.66</c:v>
                </c:pt>
                <c:pt idx="117">
                  <c:v>43477.9</c:v>
                </c:pt>
                <c:pt idx="118">
                  <c:v>43242.67</c:v>
                </c:pt>
                <c:pt idx="119">
                  <c:v>43005.96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6D-46CF-82CC-3B324B978FD3}"/>
            </c:ext>
          </c:extLst>
        </c:ser>
        <c:ser>
          <c:idx val="1"/>
          <c:order val="1"/>
          <c:tx>
            <c:strRef>
              <c:f>'Loan Calculator'!$D$6</c:f>
              <c:strCache>
                <c:ptCount val="1"/>
                <c:pt idx="0">
                  <c:v>Regular Payment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'Loan Calculator'!$A$7:$A$126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'Loan Calculator'!$D$7:$D$126</c:f>
              <c:numCache>
                <c:formatCode>#,##0.00</c:formatCode>
                <c:ptCount val="120"/>
                <c:pt idx="0">
                  <c:v>80865.33</c:v>
                </c:pt>
                <c:pt idx="1">
                  <c:v>80865.33</c:v>
                </c:pt>
                <c:pt idx="2">
                  <c:v>80865.33</c:v>
                </c:pt>
                <c:pt idx="3">
                  <c:v>80865.33</c:v>
                </c:pt>
                <c:pt idx="4">
                  <c:v>80865.33</c:v>
                </c:pt>
                <c:pt idx="5">
                  <c:v>80865.33</c:v>
                </c:pt>
                <c:pt idx="6">
                  <c:v>80865.33</c:v>
                </c:pt>
                <c:pt idx="7">
                  <c:v>80865.33</c:v>
                </c:pt>
                <c:pt idx="8">
                  <c:v>80865.33</c:v>
                </c:pt>
                <c:pt idx="9">
                  <c:v>80865.33</c:v>
                </c:pt>
                <c:pt idx="10">
                  <c:v>80865.33</c:v>
                </c:pt>
                <c:pt idx="11">
                  <c:v>80865.33</c:v>
                </c:pt>
                <c:pt idx="12">
                  <c:v>80865.33</c:v>
                </c:pt>
                <c:pt idx="13">
                  <c:v>80865.33</c:v>
                </c:pt>
                <c:pt idx="14">
                  <c:v>80865.33</c:v>
                </c:pt>
                <c:pt idx="15">
                  <c:v>80865.33</c:v>
                </c:pt>
                <c:pt idx="16">
                  <c:v>80865.33</c:v>
                </c:pt>
                <c:pt idx="17">
                  <c:v>80865.33</c:v>
                </c:pt>
                <c:pt idx="18">
                  <c:v>80865.33</c:v>
                </c:pt>
                <c:pt idx="19">
                  <c:v>80865.33</c:v>
                </c:pt>
                <c:pt idx="20">
                  <c:v>80865.33</c:v>
                </c:pt>
                <c:pt idx="21">
                  <c:v>80865.33</c:v>
                </c:pt>
                <c:pt idx="22">
                  <c:v>80865.33</c:v>
                </c:pt>
                <c:pt idx="23">
                  <c:v>80865.33</c:v>
                </c:pt>
                <c:pt idx="24">
                  <c:v>80865.33</c:v>
                </c:pt>
                <c:pt idx="25">
                  <c:v>80865.33</c:v>
                </c:pt>
                <c:pt idx="26">
                  <c:v>80865.33</c:v>
                </c:pt>
                <c:pt idx="27">
                  <c:v>80865.33</c:v>
                </c:pt>
                <c:pt idx="28">
                  <c:v>80865.33</c:v>
                </c:pt>
                <c:pt idx="29">
                  <c:v>80865.33</c:v>
                </c:pt>
                <c:pt idx="30">
                  <c:v>80865.33</c:v>
                </c:pt>
                <c:pt idx="31">
                  <c:v>80865.33</c:v>
                </c:pt>
                <c:pt idx="32">
                  <c:v>80865.33</c:v>
                </c:pt>
                <c:pt idx="33">
                  <c:v>80865.33</c:v>
                </c:pt>
                <c:pt idx="34">
                  <c:v>80865.33</c:v>
                </c:pt>
                <c:pt idx="35">
                  <c:v>80865.33</c:v>
                </c:pt>
                <c:pt idx="36">
                  <c:v>80865.33</c:v>
                </c:pt>
                <c:pt idx="37">
                  <c:v>80865.33</c:v>
                </c:pt>
                <c:pt idx="38">
                  <c:v>80865.33</c:v>
                </c:pt>
                <c:pt idx="39">
                  <c:v>80865.33</c:v>
                </c:pt>
                <c:pt idx="40">
                  <c:v>80865.33</c:v>
                </c:pt>
                <c:pt idx="41">
                  <c:v>80865.33</c:v>
                </c:pt>
                <c:pt idx="42">
                  <c:v>80865.33</c:v>
                </c:pt>
                <c:pt idx="43">
                  <c:v>80865.33</c:v>
                </c:pt>
                <c:pt idx="44">
                  <c:v>80865.33</c:v>
                </c:pt>
                <c:pt idx="45">
                  <c:v>80865.33</c:v>
                </c:pt>
                <c:pt idx="46">
                  <c:v>80865.33</c:v>
                </c:pt>
                <c:pt idx="47">
                  <c:v>80865.33</c:v>
                </c:pt>
                <c:pt idx="48">
                  <c:v>80865.33</c:v>
                </c:pt>
                <c:pt idx="49">
                  <c:v>80865.33</c:v>
                </c:pt>
                <c:pt idx="50">
                  <c:v>80865.33</c:v>
                </c:pt>
                <c:pt idx="51">
                  <c:v>80865.33</c:v>
                </c:pt>
                <c:pt idx="52">
                  <c:v>80865.33</c:v>
                </c:pt>
                <c:pt idx="53">
                  <c:v>80865.33</c:v>
                </c:pt>
                <c:pt idx="54">
                  <c:v>80865.33</c:v>
                </c:pt>
                <c:pt idx="55">
                  <c:v>80865.33</c:v>
                </c:pt>
                <c:pt idx="56">
                  <c:v>80865.33</c:v>
                </c:pt>
                <c:pt idx="57">
                  <c:v>80865.33</c:v>
                </c:pt>
                <c:pt idx="58">
                  <c:v>80865.33</c:v>
                </c:pt>
                <c:pt idx="59">
                  <c:v>80865.33</c:v>
                </c:pt>
                <c:pt idx="60">
                  <c:v>80865.33</c:v>
                </c:pt>
                <c:pt idx="61">
                  <c:v>80865.33</c:v>
                </c:pt>
                <c:pt idx="62">
                  <c:v>80865.33</c:v>
                </c:pt>
                <c:pt idx="63">
                  <c:v>80865.33</c:v>
                </c:pt>
                <c:pt idx="64">
                  <c:v>80865.33</c:v>
                </c:pt>
                <c:pt idx="65">
                  <c:v>80865.33</c:v>
                </c:pt>
                <c:pt idx="66">
                  <c:v>80865.33</c:v>
                </c:pt>
                <c:pt idx="67">
                  <c:v>80865.33</c:v>
                </c:pt>
                <c:pt idx="68">
                  <c:v>80865.33</c:v>
                </c:pt>
                <c:pt idx="69">
                  <c:v>80865.33</c:v>
                </c:pt>
                <c:pt idx="70">
                  <c:v>80865.33</c:v>
                </c:pt>
                <c:pt idx="71">
                  <c:v>80865.33</c:v>
                </c:pt>
                <c:pt idx="72">
                  <c:v>80865.33</c:v>
                </c:pt>
                <c:pt idx="73">
                  <c:v>80865.33</c:v>
                </c:pt>
                <c:pt idx="74">
                  <c:v>80865.33</c:v>
                </c:pt>
                <c:pt idx="75">
                  <c:v>80865.33</c:v>
                </c:pt>
                <c:pt idx="76">
                  <c:v>80865.33</c:v>
                </c:pt>
                <c:pt idx="77">
                  <c:v>80865.33</c:v>
                </c:pt>
                <c:pt idx="78">
                  <c:v>80865.33</c:v>
                </c:pt>
                <c:pt idx="79">
                  <c:v>80865.33</c:v>
                </c:pt>
                <c:pt idx="80">
                  <c:v>80865.33</c:v>
                </c:pt>
                <c:pt idx="81">
                  <c:v>80865.33</c:v>
                </c:pt>
                <c:pt idx="82">
                  <c:v>80865.33</c:v>
                </c:pt>
                <c:pt idx="83">
                  <c:v>80865.33</c:v>
                </c:pt>
                <c:pt idx="84">
                  <c:v>80865.33</c:v>
                </c:pt>
                <c:pt idx="85">
                  <c:v>80865.33</c:v>
                </c:pt>
                <c:pt idx="86">
                  <c:v>80865.33</c:v>
                </c:pt>
                <c:pt idx="87">
                  <c:v>80865.33</c:v>
                </c:pt>
                <c:pt idx="88">
                  <c:v>80865.33</c:v>
                </c:pt>
                <c:pt idx="89">
                  <c:v>80865.33</c:v>
                </c:pt>
                <c:pt idx="90">
                  <c:v>80865.33</c:v>
                </c:pt>
                <c:pt idx="91">
                  <c:v>80865.33</c:v>
                </c:pt>
                <c:pt idx="92">
                  <c:v>80865.33</c:v>
                </c:pt>
                <c:pt idx="93">
                  <c:v>80865.33</c:v>
                </c:pt>
                <c:pt idx="94">
                  <c:v>80865.33</c:v>
                </c:pt>
                <c:pt idx="95">
                  <c:v>80865.33</c:v>
                </c:pt>
                <c:pt idx="96">
                  <c:v>80865.33</c:v>
                </c:pt>
                <c:pt idx="97">
                  <c:v>80865.33</c:v>
                </c:pt>
                <c:pt idx="98">
                  <c:v>80865.33</c:v>
                </c:pt>
                <c:pt idx="99">
                  <c:v>80865.33</c:v>
                </c:pt>
                <c:pt idx="100">
                  <c:v>80865.33</c:v>
                </c:pt>
                <c:pt idx="101">
                  <c:v>80865.33</c:v>
                </c:pt>
                <c:pt idx="102">
                  <c:v>80865.33</c:v>
                </c:pt>
                <c:pt idx="103">
                  <c:v>80865.33</c:v>
                </c:pt>
                <c:pt idx="104">
                  <c:v>80865.33</c:v>
                </c:pt>
                <c:pt idx="105">
                  <c:v>80865.33</c:v>
                </c:pt>
                <c:pt idx="106">
                  <c:v>80865.33</c:v>
                </c:pt>
                <c:pt idx="107">
                  <c:v>80865.33</c:v>
                </c:pt>
                <c:pt idx="108">
                  <c:v>80865.33</c:v>
                </c:pt>
                <c:pt idx="109">
                  <c:v>80865.33</c:v>
                </c:pt>
                <c:pt idx="110">
                  <c:v>80865.33</c:v>
                </c:pt>
                <c:pt idx="111">
                  <c:v>80865.33</c:v>
                </c:pt>
                <c:pt idx="112">
                  <c:v>80865.33</c:v>
                </c:pt>
                <c:pt idx="113">
                  <c:v>80865.33</c:v>
                </c:pt>
                <c:pt idx="114">
                  <c:v>80865.33</c:v>
                </c:pt>
                <c:pt idx="115">
                  <c:v>80865.33</c:v>
                </c:pt>
                <c:pt idx="116">
                  <c:v>80865.33</c:v>
                </c:pt>
                <c:pt idx="117">
                  <c:v>80865.33</c:v>
                </c:pt>
                <c:pt idx="118">
                  <c:v>80865.33</c:v>
                </c:pt>
                <c:pt idx="119">
                  <c:v>80865.33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6D-46CF-82CC-3B324B978FD3}"/>
            </c:ext>
          </c:extLst>
        </c:ser>
        <c:ser>
          <c:idx val="2"/>
          <c:order val="2"/>
          <c:tx>
            <c:strRef>
              <c:f>'Loan Calculator'!$E$6</c:f>
              <c:strCache>
                <c:ptCount val="1"/>
                <c:pt idx="0">
                  <c:v>Extra Payment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'Loan Calculator'!$A$7:$A$126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'Loan Calculator'!$E$7:$E$126</c:f>
              <c:numCache>
                <c:formatCode>#,##0.00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F6D-46CF-82CC-3B324B978FD3}"/>
            </c:ext>
          </c:extLst>
        </c:ser>
        <c:ser>
          <c:idx val="3"/>
          <c:order val="3"/>
          <c:tx>
            <c:strRef>
              <c:f>'Loan Calculator'!$F$6</c:f>
              <c:strCache>
                <c:ptCount val="1"/>
                <c:pt idx="0">
                  <c:v>Total Payment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'Loan Calculator'!$A$7:$A$126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'Loan Calculator'!$F$7:$F$126</c:f>
              <c:numCache>
                <c:formatCode>#,##0.00</c:formatCode>
                <c:ptCount val="120"/>
                <c:pt idx="0">
                  <c:v>80865.33</c:v>
                </c:pt>
                <c:pt idx="1">
                  <c:v>80865.33</c:v>
                </c:pt>
                <c:pt idx="2">
                  <c:v>80865.33</c:v>
                </c:pt>
                <c:pt idx="3">
                  <c:v>80865.33</c:v>
                </c:pt>
                <c:pt idx="4">
                  <c:v>80865.33</c:v>
                </c:pt>
                <c:pt idx="5">
                  <c:v>80865.33</c:v>
                </c:pt>
                <c:pt idx="6">
                  <c:v>80865.33</c:v>
                </c:pt>
                <c:pt idx="7">
                  <c:v>80865.33</c:v>
                </c:pt>
                <c:pt idx="8">
                  <c:v>80865.33</c:v>
                </c:pt>
                <c:pt idx="9">
                  <c:v>80865.33</c:v>
                </c:pt>
                <c:pt idx="10">
                  <c:v>80865.33</c:v>
                </c:pt>
                <c:pt idx="11">
                  <c:v>80865.33</c:v>
                </c:pt>
                <c:pt idx="12">
                  <c:v>80865.33</c:v>
                </c:pt>
                <c:pt idx="13">
                  <c:v>80865.33</c:v>
                </c:pt>
                <c:pt idx="14">
                  <c:v>80865.33</c:v>
                </c:pt>
                <c:pt idx="15">
                  <c:v>80865.33</c:v>
                </c:pt>
                <c:pt idx="16">
                  <c:v>80865.33</c:v>
                </c:pt>
                <c:pt idx="17">
                  <c:v>80865.33</c:v>
                </c:pt>
                <c:pt idx="18">
                  <c:v>80865.33</c:v>
                </c:pt>
                <c:pt idx="19">
                  <c:v>80865.33</c:v>
                </c:pt>
                <c:pt idx="20">
                  <c:v>80865.33</c:v>
                </c:pt>
                <c:pt idx="21">
                  <c:v>80865.33</c:v>
                </c:pt>
                <c:pt idx="22">
                  <c:v>80865.33</c:v>
                </c:pt>
                <c:pt idx="23">
                  <c:v>80865.33</c:v>
                </c:pt>
                <c:pt idx="24">
                  <c:v>80865.33</c:v>
                </c:pt>
                <c:pt idx="25">
                  <c:v>80865.33</c:v>
                </c:pt>
                <c:pt idx="26">
                  <c:v>80865.33</c:v>
                </c:pt>
                <c:pt idx="27">
                  <c:v>80865.33</c:v>
                </c:pt>
                <c:pt idx="28">
                  <c:v>80865.33</c:v>
                </c:pt>
                <c:pt idx="29">
                  <c:v>80865.33</c:v>
                </c:pt>
                <c:pt idx="30">
                  <c:v>80865.33</c:v>
                </c:pt>
                <c:pt idx="31">
                  <c:v>80865.33</c:v>
                </c:pt>
                <c:pt idx="32">
                  <c:v>80865.33</c:v>
                </c:pt>
                <c:pt idx="33">
                  <c:v>80865.33</c:v>
                </c:pt>
                <c:pt idx="34">
                  <c:v>80865.33</c:v>
                </c:pt>
                <c:pt idx="35">
                  <c:v>80865.33</c:v>
                </c:pt>
                <c:pt idx="36">
                  <c:v>80865.33</c:v>
                </c:pt>
                <c:pt idx="37">
                  <c:v>80865.33</c:v>
                </c:pt>
                <c:pt idx="38">
                  <c:v>80865.33</c:v>
                </c:pt>
                <c:pt idx="39">
                  <c:v>80865.33</c:v>
                </c:pt>
                <c:pt idx="40">
                  <c:v>80865.33</c:v>
                </c:pt>
                <c:pt idx="41">
                  <c:v>80865.33</c:v>
                </c:pt>
                <c:pt idx="42">
                  <c:v>80865.33</c:v>
                </c:pt>
                <c:pt idx="43">
                  <c:v>80865.33</c:v>
                </c:pt>
                <c:pt idx="44">
                  <c:v>80865.33</c:v>
                </c:pt>
                <c:pt idx="45">
                  <c:v>80865.33</c:v>
                </c:pt>
                <c:pt idx="46">
                  <c:v>80865.33</c:v>
                </c:pt>
                <c:pt idx="47">
                  <c:v>80865.33</c:v>
                </c:pt>
                <c:pt idx="48">
                  <c:v>80865.33</c:v>
                </c:pt>
                <c:pt idx="49">
                  <c:v>80865.33</c:v>
                </c:pt>
                <c:pt idx="50">
                  <c:v>80865.33</c:v>
                </c:pt>
                <c:pt idx="51">
                  <c:v>80865.33</c:v>
                </c:pt>
                <c:pt idx="52">
                  <c:v>80865.33</c:v>
                </c:pt>
                <c:pt idx="53">
                  <c:v>80865.33</c:v>
                </c:pt>
                <c:pt idx="54">
                  <c:v>80865.33</c:v>
                </c:pt>
                <c:pt idx="55">
                  <c:v>80865.33</c:v>
                </c:pt>
                <c:pt idx="56">
                  <c:v>80865.33</c:v>
                </c:pt>
                <c:pt idx="57">
                  <c:v>80865.33</c:v>
                </c:pt>
                <c:pt idx="58">
                  <c:v>80865.33</c:v>
                </c:pt>
                <c:pt idx="59">
                  <c:v>80865.33</c:v>
                </c:pt>
                <c:pt idx="60">
                  <c:v>80865.33</c:v>
                </c:pt>
                <c:pt idx="61">
                  <c:v>80865.33</c:v>
                </c:pt>
                <c:pt idx="62">
                  <c:v>80865.33</c:v>
                </c:pt>
                <c:pt idx="63">
                  <c:v>80865.33</c:v>
                </c:pt>
                <c:pt idx="64">
                  <c:v>80865.33</c:v>
                </c:pt>
                <c:pt idx="65">
                  <c:v>80865.33</c:v>
                </c:pt>
                <c:pt idx="66">
                  <c:v>80865.33</c:v>
                </c:pt>
                <c:pt idx="67">
                  <c:v>80865.33</c:v>
                </c:pt>
                <c:pt idx="68">
                  <c:v>80865.33</c:v>
                </c:pt>
                <c:pt idx="69">
                  <c:v>80865.33</c:v>
                </c:pt>
                <c:pt idx="70">
                  <c:v>80865.33</c:v>
                </c:pt>
                <c:pt idx="71">
                  <c:v>80865.33</c:v>
                </c:pt>
                <c:pt idx="72">
                  <c:v>80865.33</c:v>
                </c:pt>
                <c:pt idx="73">
                  <c:v>80865.33</c:v>
                </c:pt>
                <c:pt idx="74">
                  <c:v>80865.33</c:v>
                </c:pt>
                <c:pt idx="75">
                  <c:v>80865.33</c:v>
                </c:pt>
                <c:pt idx="76">
                  <c:v>80865.33</c:v>
                </c:pt>
                <c:pt idx="77">
                  <c:v>80865.33</c:v>
                </c:pt>
                <c:pt idx="78">
                  <c:v>80865.33</c:v>
                </c:pt>
                <c:pt idx="79">
                  <c:v>80865.33</c:v>
                </c:pt>
                <c:pt idx="80">
                  <c:v>80865.33</c:v>
                </c:pt>
                <c:pt idx="81">
                  <c:v>80865.33</c:v>
                </c:pt>
                <c:pt idx="82">
                  <c:v>80865.33</c:v>
                </c:pt>
                <c:pt idx="83">
                  <c:v>80865.33</c:v>
                </c:pt>
                <c:pt idx="84">
                  <c:v>80865.33</c:v>
                </c:pt>
                <c:pt idx="85">
                  <c:v>80865.33</c:v>
                </c:pt>
                <c:pt idx="86">
                  <c:v>80865.33</c:v>
                </c:pt>
                <c:pt idx="87">
                  <c:v>80865.33</c:v>
                </c:pt>
                <c:pt idx="88">
                  <c:v>80865.33</c:v>
                </c:pt>
                <c:pt idx="89">
                  <c:v>80865.33</c:v>
                </c:pt>
                <c:pt idx="90">
                  <c:v>80865.33</c:v>
                </c:pt>
                <c:pt idx="91">
                  <c:v>80865.33</c:v>
                </c:pt>
                <c:pt idx="92">
                  <c:v>80865.33</c:v>
                </c:pt>
                <c:pt idx="93">
                  <c:v>80865.33</c:v>
                </c:pt>
                <c:pt idx="94">
                  <c:v>80865.33</c:v>
                </c:pt>
                <c:pt idx="95">
                  <c:v>80865.33</c:v>
                </c:pt>
                <c:pt idx="96">
                  <c:v>80865.33</c:v>
                </c:pt>
                <c:pt idx="97">
                  <c:v>80865.33</c:v>
                </c:pt>
                <c:pt idx="98">
                  <c:v>80865.33</c:v>
                </c:pt>
                <c:pt idx="99">
                  <c:v>80865.33</c:v>
                </c:pt>
                <c:pt idx="100">
                  <c:v>80865.33</c:v>
                </c:pt>
                <c:pt idx="101">
                  <c:v>80865.33</c:v>
                </c:pt>
                <c:pt idx="102">
                  <c:v>80865.33</c:v>
                </c:pt>
                <c:pt idx="103">
                  <c:v>80865.33</c:v>
                </c:pt>
                <c:pt idx="104">
                  <c:v>80865.33</c:v>
                </c:pt>
                <c:pt idx="105">
                  <c:v>80865.33</c:v>
                </c:pt>
                <c:pt idx="106">
                  <c:v>80865.33</c:v>
                </c:pt>
                <c:pt idx="107">
                  <c:v>80865.33</c:v>
                </c:pt>
                <c:pt idx="108">
                  <c:v>80865.33</c:v>
                </c:pt>
                <c:pt idx="109">
                  <c:v>80865.33</c:v>
                </c:pt>
                <c:pt idx="110">
                  <c:v>80865.33</c:v>
                </c:pt>
                <c:pt idx="111">
                  <c:v>80865.33</c:v>
                </c:pt>
                <c:pt idx="112">
                  <c:v>80865.33</c:v>
                </c:pt>
                <c:pt idx="113">
                  <c:v>80865.33</c:v>
                </c:pt>
                <c:pt idx="114">
                  <c:v>80865.33</c:v>
                </c:pt>
                <c:pt idx="115">
                  <c:v>80865.33</c:v>
                </c:pt>
                <c:pt idx="116">
                  <c:v>80865.33</c:v>
                </c:pt>
                <c:pt idx="117">
                  <c:v>80865.33</c:v>
                </c:pt>
                <c:pt idx="118">
                  <c:v>80865.33</c:v>
                </c:pt>
                <c:pt idx="119">
                  <c:v>80865.33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F6D-46CF-82CC-3B324B978FD3}"/>
            </c:ext>
          </c:extLst>
        </c:ser>
        <c:ser>
          <c:idx val="4"/>
          <c:order val="4"/>
          <c:tx>
            <c:strRef>
              <c:f>'Loan Calculator'!$G$6</c:f>
              <c:strCache>
                <c:ptCount val="1"/>
                <c:pt idx="0">
                  <c:v>Principal Paid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'Loan Calculator'!$A$7:$A$126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'Loan Calculator'!$G$7:$G$126</c:f>
              <c:numCache>
                <c:formatCode>#,##0.00</c:formatCode>
                <c:ptCount val="120"/>
                <c:pt idx="0">
                  <c:v>17948.660000000003</c:v>
                </c:pt>
                <c:pt idx="1">
                  <c:v>18061.590000000004</c:v>
                </c:pt>
                <c:pt idx="2">
                  <c:v>18175.230000000003</c:v>
                </c:pt>
                <c:pt idx="3">
                  <c:v>18289.580000000002</c:v>
                </c:pt>
                <c:pt idx="4">
                  <c:v>18404.650000000001</c:v>
                </c:pt>
                <c:pt idx="5">
                  <c:v>18520.450000000004</c:v>
                </c:pt>
                <c:pt idx="6">
                  <c:v>18636.97</c:v>
                </c:pt>
                <c:pt idx="7">
                  <c:v>18754.230000000003</c:v>
                </c:pt>
                <c:pt idx="8">
                  <c:v>18872.230000000003</c:v>
                </c:pt>
                <c:pt idx="9">
                  <c:v>18990.96</c:v>
                </c:pt>
                <c:pt idx="10">
                  <c:v>19110.450000000004</c:v>
                </c:pt>
                <c:pt idx="11">
                  <c:v>19230.68</c:v>
                </c:pt>
                <c:pt idx="12">
                  <c:v>19351.68</c:v>
                </c:pt>
                <c:pt idx="13">
                  <c:v>19473.43</c:v>
                </c:pt>
                <c:pt idx="14">
                  <c:v>19595.950000000004</c:v>
                </c:pt>
                <c:pt idx="15">
                  <c:v>19719.240000000005</c:v>
                </c:pt>
                <c:pt idx="16">
                  <c:v>19843.310000000005</c:v>
                </c:pt>
                <c:pt idx="17">
                  <c:v>19968.160000000003</c:v>
                </c:pt>
                <c:pt idx="18">
                  <c:v>20093.79</c:v>
                </c:pt>
                <c:pt idx="19">
                  <c:v>20220.21</c:v>
                </c:pt>
                <c:pt idx="20">
                  <c:v>20347.43</c:v>
                </c:pt>
                <c:pt idx="21">
                  <c:v>20475.450000000004</c:v>
                </c:pt>
                <c:pt idx="22">
                  <c:v>20604.28</c:v>
                </c:pt>
                <c:pt idx="23">
                  <c:v>20733.910000000003</c:v>
                </c:pt>
                <c:pt idx="24">
                  <c:v>20864.36</c:v>
                </c:pt>
                <c:pt idx="25">
                  <c:v>20995.630000000005</c:v>
                </c:pt>
                <c:pt idx="26">
                  <c:v>21127.730000000003</c:v>
                </c:pt>
                <c:pt idx="27">
                  <c:v>21260.660000000003</c:v>
                </c:pt>
                <c:pt idx="28">
                  <c:v>21394.43</c:v>
                </c:pt>
                <c:pt idx="29">
                  <c:v>21529.03</c:v>
                </c:pt>
                <c:pt idx="30">
                  <c:v>21664.490000000005</c:v>
                </c:pt>
                <c:pt idx="31">
                  <c:v>21800.79</c:v>
                </c:pt>
                <c:pt idx="32">
                  <c:v>21937.96</c:v>
                </c:pt>
                <c:pt idx="33">
                  <c:v>22075.980000000003</c:v>
                </c:pt>
                <c:pt idx="34">
                  <c:v>22214.880000000005</c:v>
                </c:pt>
                <c:pt idx="35">
                  <c:v>22354.639999999999</c:v>
                </c:pt>
                <c:pt idx="36">
                  <c:v>22495.29</c:v>
                </c:pt>
                <c:pt idx="37">
                  <c:v>22636.83</c:v>
                </c:pt>
                <c:pt idx="38">
                  <c:v>22779.25</c:v>
                </c:pt>
                <c:pt idx="39">
                  <c:v>22922.57</c:v>
                </c:pt>
                <c:pt idx="40">
                  <c:v>23066.79</c:v>
                </c:pt>
                <c:pt idx="41">
                  <c:v>23211.919999999998</c:v>
                </c:pt>
                <c:pt idx="42">
                  <c:v>23357.96</c:v>
                </c:pt>
                <c:pt idx="43">
                  <c:v>23504.92</c:v>
                </c:pt>
                <c:pt idx="44">
                  <c:v>23652.810000000005</c:v>
                </c:pt>
                <c:pt idx="45">
                  <c:v>23801.620000000003</c:v>
                </c:pt>
                <c:pt idx="46">
                  <c:v>23951.370000000003</c:v>
                </c:pt>
                <c:pt idx="47">
                  <c:v>24102.07</c:v>
                </c:pt>
                <c:pt idx="48">
                  <c:v>24253.71</c:v>
                </c:pt>
                <c:pt idx="49">
                  <c:v>24406.310000000005</c:v>
                </c:pt>
                <c:pt idx="50">
                  <c:v>24559.86</c:v>
                </c:pt>
                <c:pt idx="51">
                  <c:v>24714.380000000005</c:v>
                </c:pt>
                <c:pt idx="52">
                  <c:v>24869.880000000005</c:v>
                </c:pt>
                <c:pt idx="53">
                  <c:v>25026.35</c:v>
                </c:pt>
                <c:pt idx="54">
                  <c:v>25183.810000000005</c:v>
                </c:pt>
                <c:pt idx="55">
                  <c:v>25342.260000000002</c:v>
                </c:pt>
                <c:pt idx="56">
                  <c:v>25501.700000000004</c:v>
                </c:pt>
                <c:pt idx="57">
                  <c:v>25662.15</c:v>
                </c:pt>
                <c:pt idx="58">
                  <c:v>25823.61</c:v>
                </c:pt>
                <c:pt idx="59">
                  <c:v>25986.080000000002</c:v>
                </c:pt>
                <c:pt idx="60">
                  <c:v>26149.58</c:v>
                </c:pt>
                <c:pt idx="61">
                  <c:v>26314.1</c:v>
                </c:pt>
                <c:pt idx="62">
                  <c:v>26479.660000000003</c:v>
                </c:pt>
                <c:pt idx="63">
                  <c:v>26646.260000000002</c:v>
                </c:pt>
                <c:pt idx="64">
                  <c:v>26813.910000000003</c:v>
                </c:pt>
                <c:pt idx="65">
                  <c:v>26982.620000000003</c:v>
                </c:pt>
                <c:pt idx="66">
                  <c:v>27152.380000000005</c:v>
                </c:pt>
                <c:pt idx="67">
                  <c:v>27323.22</c:v>
                </c:pt>
                <c:pt idx="68">
                  <c:v>27495.120000000003</c:v>
                </c:pt>
                <c:pt idx="69">
                  <c:v>27668.11</c:v>
                </c:pt>
                <c:pt idx="70">
                  <c:v>27842.190000000002</c:v>
                </c:pt>
                <c:pt idx="71">
                  <c:v>28017.370000000003</c:v>
                </c:pt>
                <c:pt idx="72">
                  <c:v>28193.64</c:v>
                </c:pt>
                <c:pt idx="73">
                  <c:v>28371.03</c:v>
                </c:pt>
                <c:pt idx="74">
                  <c:v>28549.53</c:v>
                </c:pt>
                <c:pt idx="75">
                  <c:v>28729.15</c:v>
                </c:pt>
                <c:pt idx="76">
                  <c:v>28909.910000000003</c:v>
                </c:pt>
                <c:pt idx="77">
                  <c:v>29091.800000000003</c:v>
                </c:pt>
                <c:pt idx="78">
                  <c:v>29274.83</c:v>
                </c:pt>
                <c:pt idx="79">
                  <c:v>29459.020000000004</c:v>
                </c:pt>
                <c:pt idx="80">
                  <c:v>29644.370000000003</c:v>
                </c:pt>
                <c:pt idx="81">
                  <c:v>29830.880000000005</c:v>
                </c:pt>
                <c:pt idx="82">
                  <c:v>30018.57</c:v>
                </c:pt>
                <c:pt idx="83">
                  <c:v>30207.43</c:v>
                </c:pt>
                <c:pt idx="84">
                  <c:v>30397.490000000005</c:v>
                </c:pt>
                <c:pt idx="85">
                  <c:v>30588.740000000005</c:v>
                </c:pt>
                <c:pt idx="86">
                  <c:v>30781.190000000002</c:v>
                </c:pt>
                <c:pt idx="87">
                  <c:v>30974.86</c:v>
                </c:pt>
                <c:pt idx="88">
                  <c:v>31169.740000000005</c:v>
                </c:pt>
                <c:pt idx="89">
                  <c:v>31365.85</c:v>
                </c:pt>
                <c:pt idx="90">
                  <c:v>31563.200000000004</c:v>
                </c:pt>
                <c:pt idx="91">
                  <c:v>31761.78</c:v>
                </c:pt>
                <c:pt idx="92">
                  <c:v>31961.620000000003</c:v>
                </c:pt>
                <c:pt idx="93">
                  <c:v>32162.71</c:v>
                </c:pt>
                <c:pt idx="94">
                  <c:v>32365.060000000005</c:v>
                </c:pt>
                <c:pt idx="95">
                  <c:v>32568.690000000002</c:v>
                </c:pt>
                <c:pt idx="96">
                  <c:v>32773.61</c:v>
                </c:pt>
                <c:pt idx="97">
                  <c:v>32979.810000000005</c:v>
                </c:pt>
                <c:pt idx="98">
                  <c:v>33187.300000000003</c:v>
                </c:pt>
                <c:pt idx="99">
                  <c:v>33396.11</c:v>
                </c:pt>
                <c:pt idx="100">
                  <c:v>33606.22</c:v>
                </c:pt>
                <c:pt idx="101">
                  <c:v>33817.660000000003</c:v>
                </c:pt>
                <c:pt idx="102">
                  <c:v>34030.43</c:v>
                </c:pt>
                <c:pt idx="103">
                  <c:v>34244.54</c:v>
                </c:pt>
                <c:pt idx="104">
                  <c:v>34460</c:v>
                </c:pt>
                <c:pt idx="105">
                  <c:v>34676.810000000005</c:v>
                </c:pt>
                <c:pt idx="106">
                  <c:v>34894.980000000003</c:v>
                </c:pt>
                <c:pt idx="107">
                  <c:v>35114.53</c:v>
                </c:pt>
                <c:pt idx="108">
                  <c:v>35335.46</c:v>
                </c:pt>
                <c:pt idx="109">
                  <c:v>35557.78</c:v>
                </c:pt>
                <c:pt idx="110">
                  <c:v>35781.5</c:v>
                </c:pt>
                <c:pt idx="111">
                  <c:v>36006.620000000003</c:v>
                </c:pt>
                <c:pt idx="112">
                  <c:v>36233.160000000003</c:v>
                </c:pt>
                <c:pt idx="113">
                  <c:v>36461.130000000005</c:v>
                </c:pt>
                <c:pt idx="114">
                  <c:v>36690.53</c:v>
                </c:pt>
                <c:pt idx="115">
                  <c:v>36921.380000000005</c:v>
                </c:pt>
                <c:pt idx="116">
                  <c:v>37153.67</c:v>
                </c:pt>
                <c:pt idx="117">
                  <c:v>37387.43</c:v>
                </c:pt>
                <c:pt idx="118">
                  <c:v>37622.660000000003</c:v>
                </c:pt>
                <c:pt idx="119">
                  <c:v>37859.370000000003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F6D-46CF-82CC-3B324B978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tabSelected="1" workbookViewId="0">
      <pane ySplit="6" topLeftCell="A229" activePane="bottomLeft" state="frozen"/>
      <selection pane="bottomLeft" activeCell="D246" sqref="D246"/>
    </sheetView>
  </sheetViews>
  <sheetFormatPr defaultRowHeight="14.4" x14ac:dyDescent="0.3"/>
  <cols>
    <col min="1" max="1" width="25" customWidth="1"/>
    <col min="2" max="2" width="20" customWidth="1"/>
    <col min="3" max="3" width="15.77734375" customWidth="1"/>
    <col min="4" max="4" width="24.109375" customWidth="1"/>
    <col min="5" max="5" width="21.33203125" customWidth="1"/>
    <col min="6" max="6" width="18" customWidth="1"/>
    <col min="7" max="7" width="19" customWidth="1"/>
    <col min="8" max="8" width="22" customWidth="1"/>
  </cols>
  <sheetData>
    <row r="1" spans="1:8" x14ac:dyDescent="0.3">
      <c r="A1" s="1" t="s">
        <v>0</v>
      </c>
      <c r="B1">
        <v>10000000</v>
      </c>
      <c r="D1" s="1" t="s">
        <v>1</v>
      </c>
      <c r="E1">
        <f>ROUND(-PMT(B2/12/100,B3,B1),2)</f>
        <v>80865.33</v>
      </c>
      <c r="G1" s="4" t="s">
        <v>11</v>
      </c>
      <c r="H1" s="3">
        <f>SUM(E7:E366)</f>
        <v>0</v>
      </c>
    </row>
    <row r="2" spans="1:8" x14ac:dyDescent="0.3">
      <c r="A2" s="1" t="s">
        <v>2</v>
      </c>
      <c r="B2">
        <v>7.55</v>
      </c>
      <c r="D2" s="5" t="s">
        <v>3</v>
      </c>
      <c r="E2" s="3">
        <f>SUM(C7:C366)</f>
        <v>9407678.1000000015</v>
      </c>
      <c r="G2" s="4" t="s">
        <v>15</v>
      </c>
      <c r="H2" s="3">
        <f>MAX(0,B4-E2)</f>
        <v>0.59999999776482582</v>
      </c>
    </row>
    <row r="3" spans="1:8" x14ac:dyDescent="0.3">
      <c r="A3" s="1" t="s">
        <v>4</v>
      </c>
      <c r="B3">
        <v>240</v>
      </c>
      <c r="D3" s="1" t="s">
        <v>5</v>
      </c>
      <c r="E3">
        <f>SUM(E7:E366)</f>
        <v>0</v>
      </c>
    </row>
    <row r="4" spans="1:8" x14ac:dyDescent="0.3">
      <c r="A4" s="4" t="s">
        <v>16</v>
      </c>
      <c r="B4">
        <f>ROUND(((-PMT(B2/12/100,B3,B1))*B3)-B1,2)</f>
        <v>9407678.6999999993</v>
      </c>
      <c r="D4" s="1" t="s">
        <v>6</v>
      </c>
      <c r="E4">
        <f>COUNTIF(H7:H366,"&gt;0")</f>
        <v>239</v>
      </c>
    </row>
    <row r="6" spans="1:8" x14ac:dyDescent="0.3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</row>
    <row r="7" spans="1:8" x14ac:dyDescent="0.3">
      <c r="A7">
        <v>1</v>
      </c>
      <c r="B7" s="3">
        <f>B1</f>
        <v>10000000</v>
      </c>
      <c r="C7" s="3">
        <f>ROUND(B7*($B$2/12/100), 2)</f>
        <v>62916.67</v>
      </c>
      <c r="D7" s="3">
        <f t="shared" ref="D7:D70" si="0">$E$1</f>
        <v>80865.33</v>
      </c>
      <c r="E7" s="3">
        <v>0</v>
      </c>
      <c r="F7" s="3">
        <f t="shared" ref="F7:F70" si="1">D7+E7</f>
        <v>80865.33</v>
      </c>
      <c r="G7" s="3">
        <f>MIN(B7, F7-C7)</f>
        <v>17948.660000000003</v>
      </c>
      <c r="H7" s="3">
        <f>MAX(0, B7-G7)</f>
        <v>9982051.3399999999</v>
      </c>
    </row>
    <row r="8" spans="1:8" x14ac:dyDescent="0.3">
      <c r="A8">
        <v>2</v>
      </c>
      <c r="B8" s="3">
        <f t="shared" ref="B8:B71" si="2">H7</f>
        <v>9982051.3399999999</v>
      </c>
      <c r="C8" s="3">
        <f t="shared" ref="C8:C71" si="3">ROUND(B8*($B$2/12/100), 2)</f>
        <v>62803.74</v>
      </c>
      <c r="D8" s="3">
        <f t="shared" si="0"/>
        <v>80865.33</v>
      </c>
      <c r="E8" s="3">
        <v>0</v>
      </c>
      <c r="F8" s="3">
        <f t="shared" si="1"/>
        <v>80865.33</v>
      </c>
      <c r="G8" s="3">
        <f t="shared" ref="G8:G71" si="4">MIN(B8, F8-C8)</f>
        <v>18061.590000000004</v>
      </c>
      <c r="H8" s="3">
        <f t="shared" ref="H8:H71" si="5">MAX(0, B8-G8)</f>
        <v>9963989.75</v>
      </c>
    </row>
    <row r="9" spans="1:8" x14ac:dyDescent="0.3">
      <c r="A9">
        <v>3</v>
      </c>
      <c r="B9" s="3">
        <f t="shared" si="2"/>
        <v>9963989.75</v>
      </c>
      <c r="C9" s="3">
        <f t="shared" si="3"/>
        <v>62690.1</v>
      </c>
      <c r="D9" s="3">
        <f t="shared" si="0"/>
        <v>80865.33</v>
      </c>
      <c r="E9" s="3">
        <v>0</v>
      </c>
      <c r="F9" s="3">
        <f t="shared" si="1"/>
        <v>80865.33</v>
      </c>
      <c r="G9" s="3">
        <f t="shared" si="4"/>
        <v>18175.230000000003</v>
      </c>
      <c r="H9" s="3">
        <f t="shared" si="5"/>
        <v>9945814.5199999996</v>
      </c>
    </row>
    <row r="10" spans="1:8" x14ac:dyDescent="0.3">
      <c r="A10">
        <v>4</v>
      </c>
      <c r="B10" s="3">
        <f t="shared" si="2"/>
        <v>9945814.5199999996</v>
      </c>
      <c r="C10" s="3">
        <f t="shared" si="3"/>
        <v>62575.75</v>
      </c>
      <c r="D10" s="3">
        <f t="shared" si="0"/>
        <v>80865.33</v>
      </c>
      <c r="E10" s="3">
        <v>0</v>
      </c>
      <c r="F10" s="3">
        <f t="shared" si="1"/>
        <v>80865.33</v>
      </c>
      <c r="G10" s="3">
        <f t="shared" si="4"/>
        <v>18289.580000000002</v>
      </c>
      <c r="H10" s="3">
        <f t="shared" si="5"/>
        <v>9927524.9399999995</v>
      </c>
    </row>
    <row r="11" spans="1:8" x14ac:dyDescent="0.3">
      <c r="A11">
        <v>5</v>
      </c>
      <c r="B11" s="3">
        <f t="shared" si="2"/>
        <v>9927524.9399999995</v>
      </c>
      <c r="C11" s="3">
        <f t="shared" si="3"/>
        <v>62460.68</v>
      </c>
      <c r="D11" s="3">
        <f t="shared" si="0"/>
        <v>80865.33</v>
      </c>
      <c r="E11" s="3">
        <v>0</v>
      </c>
      <c r="F11" s="3">
        <f t="shared" si="1"/>
        <v>80865.33</v>
      </c>
      <c r="G11" s="3">
        <f t="shared" si="4"/>
        <v>18404.650000000001</v>
      </c>
      <c r="H11" s="3">
        <f t="shared" si="5"/>
        <v>9909120.2899999991</v>
      </c>
    </row>
    <row r="12" spans="1:8" x14ac:dyDescent="0.3">
      <c r="A12">
        <v>6</v>
      </c>
      <c r="B12" s="3">
        <f t="shared" si="2"/>
        <v>9909120.2899999991</v>
      </c>
      <c r="C12" s="3">
        <f t="shared" si="3"/>
        <v>62344.88</v>
      </c>
      <c r="D12" s="3">
        <f t="shared" si="0"/>
        <v>80865.33</v>
      </c>
      <c r="E12" s="3">
        <v>0</v>
      </c>
      <c r="F12" s="3">
        <f t="shared" si="1"/>
        <v>80865.33</v>
      </c>
      <c r="G12" s="3">
        <f t="shared" si="4"/>
        <v>18520.450000000004</v>
      </c>
      <c r="H12" s="3">
        <f t="shared" si="5"/>
        <v>9890599.8399999999</v>
      </c>
    </row>
    <row r="13" spans="1:8" x14ac:dyDescent="0.3">
      <c r="A13">
        <v>7</v>
      </c>
      <c r="B13" s="3">
        <f t="shared" si="2"/>
        <v>9890599.8399999999</v>
      </c>
      <c r="C13" s="3">
        <f t="shared" si="3"/>
        <v>62228.36</v>
      </c>
      <c r="D13" s="3">
        <f t="shared" si="0"/>
        <v>80865.33</v>
      </c>
      <c r="E13" s="3">
        <v>0</v>
      </c>
      <c r="F13" s="3">
        <f t="shared" si="1"/>
        <v>80865.33</v>
      </c>
      <c r="G13" s="3">
        <f t="shared" si="4"/>
        <v>18636.97</v>
      </c>
      <c r="H13" s="3">
        <f t="shared" si="5"/>
        <v>9871962.8699999992</v>
      </c>
    </row>
    <row r="14" spans="1:8" x14ac:dyDescent="0.3">
      <c r="A14">
        <v>8</v>
      </c>
      <c r="B14" s="3">
        <f t="shared" si="2"/>
        <v>9871962.8699999992</v>
      </c>
      <c r="C14" s="3">
        <f t="shared" si="3"/>
        <v>62111.1</v>
      </c>
      <c r="D14" s="3">
        <f t="shared" si="0"/>
        <v>80865.33</v>
      </c>
      <c r="E14" s="3">
        <v>0</v>
      </c>
      <c r="F14" s="3">
        <f t="shared" si="1"/>
        <v>80865.33</v>
      </c>
      <c r="G14" s="3">
        <f t="shared" si="4"/>
        <v>18754.230000000003</v>
      </c>
      <c r="H14" s="3">
        <f t="shared" si="5"/>
        <v>9853208.6399999987</v>
      </c>
    </row>
    <row r="15" spans="1:8" x14ac:dyDescent="0.3">
      <c r="A15">
        <v>9</v>
      </c>
      <c r="B15" s="3">
        <f t="shared" si="2"/>
        <v>9853208.6399999987</v>
      </c>
      <c r="C15" s="3">
        <f t="shared" si="3"/>
        <v>61993.1</v>
      </c>
      <c r="D15" s="3">
        <f t="shared" si="0"/>
        <v>80865.33</v>
      </c>
      <c r="E15" s="3">
        <v>0</v>
      </c>
      <c r="F15" s="3">
        <f t="shared" si="1"/>
        <v>80865.33</v>
      </c>
      <c r="G15" s="3">
        <f t="shared" si="4"/>
        <v>18872.230000000003</v>
      </c>
      <c r="H15" s="3">
        <f t="shared" si="5"/>
        <v>9834336.4099999983</v>
      </c>
    </row>
    <row r="16" spans="1:8" x14ac:dyDescent="0.3">
      <c r="A16">
        <v>10</v>
      </c>
      <c r="B16" s="3">
        <f t="shared" si="2"/>
        <v>9834336.4099999983</v>
      </c>
      <c r="C16" s="3">
        <f t="shared" si="3"/>
        <v>61874.37</v>
      </c>
      <c r="D16" s="3">
        <f t="shared" si="0"/>
        <v>80865.33</v>
      </c>
      <c r="E16" s="3">
        <v>0</v>
      </c>
      <c r="F16" s="3">
        <f t="shared" si="1"/>
        <v>80865.33</v>
      </c>
      <c r="G16" s="3">
        <f t="shared" si="4"/>
        <v>18990.96</v>
      </c>
      <c r="H16" s="3">
        <f t="shared" si="5"/>
        <v>9815345.4499999974</v>
      </c>
    </row>
    <row r="17" spans="1:8" x14ac:dyDescent="0.3">
      <c r="A17">
        <v>11</v>
      </c>
      <c r="B17" s="3">
        <f t="shared" si="2"/>
        <v>9815345.4499999974</v>
      </c>
      <c r="C17" s="3">
        <f t="shared" si="3"/>
        <v>61754.879999999997</v>
      </c>
      <c r="D17" s="3">
        <f t="shared" si="0"/>
        <v>80865.33</v>
      </c>
      <c r="E17" s="3">
        <v>0</v>
      </c>
      <c r="F17" s="3">
        <f t="shared" si="1"/>
        <v>80865.33</v>
      </c>
      <c r="G17" s="3">
        <f t="shared" si="4"/>
        <v>19110.450000000004</v>
      </c>
      <c r="H17" s="3">
        <f t="shared" si="5"/>
        <v>9796234.9999999981</v>
      </c>
    </row>
    <row r="18" spans="1:8" x14ac:dyDescent="0.3">
      <c r="A18">
        <v>12</v>
      </c>
      <c r="B18" s="3">
        <f t="shared" si="2"/>
        <v>9796234.9999999981</v>
      </c>
      <c r="C18" s="3">
        <f t="shared" si="3"/>
        <v>61634.65</v>
      </c>
      <c r="D18" s="3">
        <f t="shared" si="0"/>
        <v>80865.33</v>
      </c>
      <c r="E18" s="3">
        <v>0</v>
      </c>
      <c r="F18" s="3">
        <f t="shared" si="1"/>
        <v>80865.33</v>
      </c>
      <c r="G18" s="3">
        <f t="shared" si="4"/>
        <v>19230.68</v>
      </c>
      <c r="H18" s="3">
        <f t="shared" si="5"/>
        <v>9777004.3199999984</v>
      </c>
    </row>
    <row r="19" spans="1:8" x14ac:dyDescent="0.3">
      <c r="A19">
        <v>13</v>
      </c>
      <c r="B19" s="3">
        <f t="shared" si="2"/>
        <v>9777004.3199999984</v>
      </c>
      <c r="C19" s="3">
        <f t="shared" si="3"/>
        <v>61513.65</v>
      </c>
      <c r="D19" s="3">
        <f t="shared" si="0"/>
        <v>80865.33</v>
      </c>
      <c r="E19" s="3">
        <v>0</v>
      </c>
      <c r="F19" s="3">
        <f t="shared" si="1"/>
        <v>80865.33</v>
      </c>
      <c r="G19" s="3">
        <f t="shared" si="4"/>
        <v>19351.68</v>
      </c>
      <c r="H19" s="3">
        <f t="shared" si="5"/>
        <v>9757652.6399999987</v>
      </c>
    </row>
    <row r="20" spans="1:8" x14ac:dyDescent="0.3">
      <c r="A20">
        <v>14</v>
      </c>
      <c r="B20" s="3">
        <f t="shared" si="2"/>
        <v>9757652.6399999987</v>
      </c>
      <c r="C20" s="3">
        <f t="shared" si="3"/>
        <v>61391.9</v>
      </c>
      <c r="D20" s="3">
        <f t="shared" si="0"/>
        <v>80865.33</v>
      </c>
      <c r="E20" s="3">
        <v>0</v>
      </c>
      <c r="F20" s="3">
        <f t="shared" si="1"/>
        <v>80865.33</v>
      </c>
      <c r="G20" s="3">
        <f t="shared" si="4"/>
        <v>19473.43</v>
      </c>
      <c r="H20" s="3">
        <f t="shared" si="5"/>
        <v>9738179.209999999</v>
      </c>
    </row>
    <row r="21" spans="1:8" x14ac:dyDescent="0.3">
      <c r="A21">
        <v>15</v>
      </c>
      <c r="B21" s="3">
        <f t="shared" si="2"/>
        <v>9738179.209999999</v>
      </c>
      <c r="C21" s="3">
        <f t="shared" si="3"/>
        <v>61269.38</v>
      </c>
      <c r="D21" s="3">
        <f t="shared" si="0"/>
        <v>80865.33</v>
      </c>
      <c r="E21" s="3">
        <v>0</v>
      </c>
      <c r="F21" s="3">
        <f t="shared" si="1"/>
        <v>80865.33</v>
      </c>
      <c r="G21" s="3">
        <f t="shared" si="4"/>
        <v>19595.950000000004</v>
      </c>
      <c r="H21" s="3">
        <f t="shared" si="5"/>
        <v>9718583.2599999998</v>
      </c>
    </row>
    <row r="22" spans="1:8" x14ac:dyDescent="0.3">
      <c r="A22">
        <v>16</v>
      </c>
      <c r="B22" s="3">
        <f t="shared" si="2"/>
        <v>9718583.2599999998</v>
      </c>
      <c r="C22" s="3">
        <f t="shared" si="3"/>
        <v>61146.09</v>
      </c>
      <c r="D22" s="3">
        <f t="shared" si="0"/>
        <v>80865.33</v>
      </c>
      <c r="E22" s="3">
        <v>0</v>
      </c>
      <c r="F22" s="3">
        <f t="shared" si="1"/>
        <v>80865.33</v>
      </c>
      <c r="G22" s="3">
        <f t="shared" si="4"/>
        <v>19719.240000000005</v>
      </c>
      <c r="H22" s="3">
        <f t="shared" si="5"/>
        <v>9698864.0199999996</v>
      </c>
    </row>
    <row r="23" spans="1:8" x14ac:dyDescent="0.3">
      <c r="A23">
        <v>17</v>
      </c>
      <c r="B23" s="3">
        <f t="shared" si="2"/>
        <v>9698864.0199999996</v>
      </c>
      <c r="C23" s="3">
        <f t="shared" si="3"/>
        <v>61022.02</v>
      </c>
      <c r="D23" s="3">
        <f t="shared" si="0"/>
        <v>80865.33</v>
      </c>
      <c r="E23" s="3">
        <v>0</v>
      </c>
      <c r="F23" s="3">
        <f t="shared" si="1"/>
        <v>80865.33</v>
      </c>
      <c r="G23" s="3">
        <f t="shared" si="4"/>
        <v>19843.310000000005</v>
      </c>
      <c r="H23" s="3">
        <f t="shared" si="5"/>
        <v>9679020.709999999</v>
      </c>
    </row>
    <row r="24" spans="1:8" x14ac:dyDescent="0.3">
      <c r="A24">
        <v>18</v>
      </c>
      <c r="B24" s="3">
        <f t="shared" si="2"/>
        <v>9679020.709999999</v>
      </c>
      <c r="C24" s="3">
        <f t="shared" si="3"/>
        <v>60897.17</v>
      </c>
      <c r="D24" s="3">
        <f t="shared" si="0"/>
        <v>80865.33</v>
      </c>
      <c r="E24" s="3">
        <v>0</v>
      </c>
      <c r="F24" s="3">
        <f t="shared" si="1"/>
        <v>80865.33</v>
      </c>
      <c r="G24" s="3">
        <f t="shared" si="4"/>
        <v>19968.160000000003</v>
      </c>
      <c r="H24" s="3">
        <f t="shared" si="5"/>
        <v>9659052.5499999989</v>
      </c>
    </row>
    <row r="25" spans="1:8" x14ac:dyDescent="0.3">
      <c r="A25">
        <v>19</v>
      </c>
      <c r="B25" s="3">
        <f t="shared" si="2"/>
        <v>9659052.5499999989</v>
      </c>
      <c r="C25" s="3">
        <f t="shared" si="3"/>
        <v>60771.54</v>
      </c>
      <c r="D25" s="3">
        <f t="shared" si="0"/>
        <v>80865.33</v>
      </c>
      <c r="E25" s="3">
        <v>0</v>
      </c>
      <c r="F25" s="3">
        <f t="shared" si="1"/>
        <v>80865.33</v>
      </c>
      <c r="G25" s="3">
        <f t="shared" si="4"/>
        <v>20093.79</v>
      </c>
      <c r="H25" s="3">
        <f t="shared" si="5"/>
        <v>9638958.7599999998</v>
      </c>
    </row>
    <row r="26" spans="1:8" x14ac:dyDescent="0.3">
      <c r="A26">
        <v>20</v>
      </c>
      <c r="B26" s="3">
        <f t="shared" si="2"/>
        <v>9638958.7599999998</v>
      </c>
      <c r="C26" s="3">
        <f t="shared" si="3"/>
        <v>60645.120000000003</v>
      </c>
      <c r="D26" s="3">
        <f t="shared" si="0"/>
        <v>80865.33</v>
      </c>
      <c r="E26" s="3">
        <v>0</v>
      </c>
      <c r="F26" s="3">
        <f t="shared" si="1"/>
        <v>80865.33</v>
      </c>
      <c r="G26" s="3">
        <f t="shared" si="4"/>
        <v>20220.21</v>
      </c>
      <c r="H26" s="3">
        <f t="shared" si="5"/>
        <v>9618738.5499999989</v>
      </c>
    </row>
    <row r="27" spans="1:8" x14ac:dyDescent="0.3">
      <c r="A27">
        <v>21</v>
      </c>
      <c r="B27" s="3">
        <f t="shared" si="2"/>
        <v>9618738.5499999989</v>
      </c>
      <c r="C27" s="3">
        <f t="shared" si="3"/>
        <v>60517.9</v>
      </c>
      <c r="D27" s="3">
        <f t="shared" si="0"/>
        <v>80865.33</v>
      </c>
      <c r="E27" s="3">
        <v>0</v>
      </c>
      <c r="F27" s="3">
        <f t="shared" si="1"/>
        <v>80865.33</v>
      </c>
      <c r="G27" s="3">
        <f t="shared" si="4"/>
        <v>20347.43</v>
      </c>
      <c r="H27" s="3">
        <f t="shared" si="5"/>
        <v>9598391.1199999992</v>
      </c>
    </row>
    <row r="28" spans="1:8" x14ac:dyDescent="0.3">
      <c r="A28">
        <v>22</v>
      </c>
      <c r="B28" s="3">
        <f t="shared" si="2"/>
        <v>9598391.1199999992</v>
      </c>
      <c r="C28" s="3">
        <f t="shared" si="3"/>
        <v>60389.88</v>
      </c>
      <c r="D28" s="3">
        <f t="shared" si="0"/>
        <v>80865.33</v>
      </c>
      <c r="E28" s="3">
        <v>0</v>
      </c>
      <c r="F28" s="3">
        <f t="shared" si="1"/>
        <v>80865.33</v>
      </c>
      <c r="G28" s="3">
        <f t="shared" si="4"/>
        <v>20475.450000000004</v>
      </c>
      <c r="H28" s="3">
        <f t="shared" si="5"/>
        <v>9577915.6699999999</v>
      </c>
    </row>
    <row r="29" spans="1:8" x14ac:dyDescent="0.3">
      <c r="A29">
        <v>23</v>
      </c>
      <c r="B29" s="3">
        <f t="shared" si="2"/>
        <v>9577915.6699999999</v>
      </c>
      <c r="C29" s="3">
        <f t="shared" si="3"/>
        <v>60261.05</v>
      </c>
      <c r="D29" s="3">
        <f t="shared" si="0"/>
        <v>80865.33</v>
      </c>
      <c r="E29" s="3">
        <v>0</v>
      </c>
      <c r="F29" s="3">
        <f t="shared" si="1"/>
        <v>80865.33</v>
      </c>
      <c r="G29" s="3">
        <f t="shared" si="4"/>
        <v>20604.28</v>
      </c>
      <c r="H29" s="3">
        <f t="shared" si="5"/>
        <v>9557311.3900000006</v>
      </c>
    </row>
    <row r="30" spans="1:8" x14ac:dyDescent="0.3">
      <c r="A30">
        <v>24</v>
      </c>
      <c r="B30" s="3">
        <f t="shared" si="2"/>
        <v>9557311.3900000006</v>
      </c>
      <c r="C30" s="3">
        <f t="shared" si="3"/>
        <v>60131.42</v>
      </c>
      <c r="D30" s="3">
        <f t="shared" si="0"/>
        <v>80865.33</v>
      </c>
      <c r="E30" s="3">
        <v>0</v>
      </c>
      <c r="F30" s="3">
        <f t="shared" si="1"/>
        <v>80865.33</v>
      </c>
      <c r="G30" s="3">
        <f t="shared" si="4"/>
        <v>20733.910000000003</v>
      </c>
      <c r="H30" s="3">
        <f t="shared" si="5"/>
        <v>9536577.4800000004</v>
      </c>
    </row>
    <row r="31" spans="1:8" x14ac:dyDescent="0.3">
      <c r="A31">
        <v>25</v>
      </c>
      <c r="B31" s="3">
        <f t="shared" si="2"/>
        <v>9536577.4800000004</v>
      </c>
      <c r="C31" s="3">
        <f t="shared" si="3"/>
        <v>60000.97</v>
      </c>
      <c r="D31" s="3">
        <f t="shared" si="0"/>
        <v>80865.33</v>
      </c>
      <c r="E31" s="3">
        <v>0</v>
      </c>
      <c r="F31" s="3">
        <f t="shared" si="1"/>
        <v>80865.33</v>
      </c>
      <c r="G31" s="3">
        <f t="shared" si="4"/>
        <v>20864.36</v>
      </c>
      <c r="H31" s="3">
        <f t="shared" si="5"/>
        <v>9515713.120000001</v>
      </c>
    </row>
    <row r="32" spans="1:8" x14ac:dyDescent="0.3">
      <c r="A32">
        <v>26</v>
      </c>
      <c r="B32" s="3">
        <f t="shared" si="2"/>
        <v>9515713.120000001</v>
      </c>
      <c r="C32" s="3">
        <f t="shared" si="3"/>
        <v>59869.7</v>
      </c>
      <c r="D32" s="3">
        <f t="shared" si="0"/>
        <v>80865.33</v>
      </c>
      <c r="E32" s="3">
        <v>0</v>
      </c>
      <c r="F32" s="3">
        <f t="shared" si="1"/>
        <v>80865.33</v>
      </c>
      <c r="G32" s="3">
        <f t="shared" si="4"/>
        <v>20995.630000000005</v>
      </c>
      <c r="H32" s="3">
        <f t="shared" si="5"/>
        <v>9494717.4900000002</v>
      </c>
    </row>
    <row r="33" spans="1:8" x14ac:dyDescent="0.3">
      <c r="A33">
        <v>27</v>
      </c>
      <c r="B33" s="3">
        <f t="shared" si="2"/>
        <v>9494717.4900000002</v>
      </c>
      <c r="C33" s="3">
        <f t="shared" si="3"/>
        <v>59737.599999999999</v>
      </c>
      <c r="D33" s="3">
        <f t="shared" si="0"/>
        <v>80865.33</v>
      </c>
      <c r="E33" s="3">
        <v>0</v>
      </c>
      <c r="F33" s="3">
        <f t="shared" si="1"/>
        <v>80865.33</v>
      </c>
      <c r="G33" s="3">
        <f t="shared" si="4"/>
        <v>21127.730000000003</v>
      </c>
      <c r="H33" s="3">
        <f t="shared" si="5"/>
        <v>9473589.7599999998</v>
      </c>
    </row>
    <row r="34" spans="1:8" x14ac:dyDescent="0.3">
      <c r="A34">
        <v>28</v>
      </c>
      <c r="B34" s="3">
        <f t="shared" si="2"/>
        <v>9473589.7599999998</v>
      </c>
      <c r="C34" s="3">
        <f t="shared" si="3"/>
        <v>59604.67</v>
      </c>
      <c r="D34" s="3">
        <f t="shared" si="0"/>
        <v>80865.33</v>
      </c>
      <c r="E34" s="3">
        <v>0</v>
      </c>
      <c r="F34" s="3">
        <f t="shared" si="1"/>
        <v>80865.33</v>
      </c>
      <c r="G34" s="3">
        <f t="shared" si="4"/>
        <v>21260.660000000003</v>
      </c>
      <c r="H34" s="3">
        <f t="shared" si="5"/>
        <v>9452329.0999999996</v>
      </c>
    </row>
    <row r="35" spans="1:8" x14ac:dyDescent="0.3">
      <c r="A35">
        <v>29</v>
      </c>
      <c r="B35" s="3">
        <f t="shared" si="2"/>
        <v>9452329.0999999996</v>
      </c>
      <c r="C35" s="3">
        <f t="shared" si="3"/>
        <v>59470.9</v>
      </c>
      <c r="D35" s="3">
        <f t="shared" si="0"/>
        <v>80865.33</v>
      </c>
      <c r="E35" s="3">
        <v>0</v>
      </c>
      <c r="F35" s="3">
        <f t="shared" si="1"/>
        <v>80865.33</v>
      </c>
      <c r="G35" s="3">
        <f t="shared" si="4"/>
        <v>21394.43</v>
      </c>
      <c r="H35" s="3">
        <f t="shared" si="5"/>
        <v>9430934.6699999999</v>
      </c>
    </row>
    <row r="36" spans="1:8" x14ac:dyDescent="0.3">
      <c r="A36">
        <v>30</v>
      </c>
      <c r="B36" s="3">
        <f t="shared" si="2"/>
        <v>9430934.6699999999</v>
      </c>
      <c r="C36" s="3">
        <f t="shared" si="3"/>
        <v>59336.3</v>
      </c>
      <c r="D36" s="3">
        <f t="shared" si="0"/>
        <v>80865.33</v>
      </c>
      <c r="E36" s="3">
        <v>0</v>
      </c>
      <c r="F36" s="3">
        <f t="shared" si="1"/>
        <v>80865.33</v>
      </c>
      <c r="G36" s="3">
        <f t="shared" si="4"/>
        <v>21529.03</v>
      </c>
      <c r="H36" s="3">
        <f t="shared" si="5"/>
        <v>9409405.6400000006</v>
      </c>
    </row>
    <row r="37" spans="1:8" x14ac:dyDescent="0.3">
      <c r="A37">
        <v>31</v>
      </c>
      <c r="B37" s="3">
        <f t="shared" si="2"/>
        <v>9409405.6400000006</v>
      </c>
      <c r="C37" s="3">
        <f t="shared" si="3"/>
        <v>59200.84</v>
      </c>
      <c r="D37" s="3">
        <f t="shared" si="0"/>
        <v>80865.33</v>
      </c>
      <c r="E37" s="3">
        <v>0</v>
      </c>
      <c r="F37" s="3">
        <f t="shared" si="1"/>
        <v>80865.33</v>
      </c>
      <c r="G37" s="3">
        <f t="shared" si="4"/>
        <v>21664.490000000005</v>
      </c>
      <c r="H37" s="3">
        <f t="shared" si="5"/>
        <v>9387741.1500000004</v>
      </c>
    </row>
    <row r="38" spans="1:8" x14ac:dyDescent="0.3">
      <c r="A38">
        <v>32</v>
      </c>
      <c r="B38" s="3">
        <f t="shared" si="2"/>
        <v>9387741.1500000004</v>
      </c>
      <c r="C38" s="3">
        <f t="shared" si="3"/>
        <v>59064.54</v>
      </c>
      <c r="D38" s="3">
        <f t="shared" si="0"/>
        <v>80865.33</v>
      </c>
      <c r="E38" s="3">
        <v>0</v>
      </c>
      <c r="F38" s="3">
        <f t="shared" si="1"/>
        <v>80865.33</v>
      </c>
      <c r="G38" s="3">
        <f t="shared" si="4"/>
        <v>21800.79</v>
      </c>
      <c r="H38" s="3">
        <f t="shared" si="5"/>
        <v>9365940.3600000013</v>
      </c>
    </row>
    <row r="39" spans="1:8" x14ac:dyDescent="0.3">
      <c r="A39">
        <v>33</v>
      </c>
      <c r="B39" s="3">
        <f t="shared" si="2"/>
        <v>9365940.3600000013</v>
      </c>
      <c r="C39" s="3">
        <f t="shared" si="3"/>
        <v>58927.37</v>
      </c>
      <c r="D39" s="3">
        <f t="shared" si="0"/>
        <v>80865.33</v>
      </c>
      <c r="E39" s="3">
        <v>0</v>
      </c>
      <c r="F39" s="3">
        <f t="shared" si="1"/>
        <v>80865.33</v>
      </c>
      <c r="G39" s="3">
        <f t="shared" si="4"/>
        <v>21937.96</v>
      </c>
      <c r="H39" s="3">
        <f t="shared" si="5"/>
        <v>9344002.4000000004</v>
      </c>
    </row>
    <row r="40" spans="1:8" x14ac:dyDescent="0.3">
      <c r="A40">
        <v>34</v>
      </c>
      <c r="B40" s="3">
        <f t="shared" si="2"/>
        <v>9344002.4000000004</v>
      </c>
      <c r="C40" s="3">
        <f t="shared" si="3"/>
        <v>58789.35</v>
      </c>
      <c r="D40" s="3">
        <f t="shared" si="0"/>
        <v>80865.33</v>
      </c>
      <c r="E40" s="3">
        <v>0</v>
      </c>
      <c r="F40" s="3">
        <f t="shared" si="1"/>
        <v>80865.33</v>
      </c>
      <c r="G40" s="3">
        <f t="shared" si="4"/>
        <v>22075.980000000003</v>
      </c>
      <c r="H40" s="3">
        <f t="shared" si="5"/>
        <v>9321926.4199999999</v>
      </c>
    </row>
    <row r="41" spans="1:8" x14ac:dyDescent="0.3">
      <c r="A41">
        <v>35</v>
      </c>
      <c r="B41" s="3">
        <f t="shared" si="2"/>
        <v>9321926.4199999999</v>
      </c>
      <c r="C41" s="3">
        <f t="shared" si="3"/>
        <v>58650.45</v>
      </c>
      <c r="D41" s="3">
        <f t="shared" si="0"/>
        <v>80865.33</v>
      </c>
      <c r="E41" s="3">
        <v>0</v>
      </c>
      <c r="F41" s="3">
        <f t="shared" si="1"/>
        <v>80865.33</v>
      </c>
      <c r="G41" s="3">
        <f t="shared" si="4"/>
        <v>22214.880000000005</v>
      </c>
      <c r="H41" s="3">
        <f t="shared" si="5"/>
        <v>9299711.5399999991</v>
      </c>
    </row>
    <row r="42" spans="1:8" x14ac:dyDescent="0.3">
      <c r="A42">
        <v>36</v>
      </c>
      <c r="B42" s="3">
        <f t="shared" si="2"/>
        <v>9299711.5399999991</v>
      </c>
      <c r="C42" s="3">
        <f t="shared" si="3"/>
        <v>58510.69</v>
      </c>
      <c r="D42" s="3">
        <f t="shared" si="0"/>
        <v>80865.33</v>
      </c>
      <c r="E42" s="3">
        <v>0</v>
      </c>
      <c r="F42" s="3">
        <f t="shared" si="1"/>
        <v>80865.33</v>
      </c>
      <c r="G42" s="3">
        <f t="shared" si="4"/>
        <v>22354.639999999999</v>
      </c>
      <c r="H42" s="3">
        <f t="shared" si="5"/>
        <v>9277356.8999999985</v>
      </c>
    </row>
    <row r="43" spans="1:8" x14ac:dyDescent="0.3">
      <c r="A43">
        <v>37</v>
      </c>
      <c r="B43" s="3">
        <f t="shared" si="2"/>
        <v>9277356.8999999985</v>
      </c>
      <c r="C43" s="3">
        <f t="shared" si="3"/>
        <v>58370.04</v>
      </c>
      <c r="D43" s="3">
        <f t="shared" si="0"/>
        <v>80865.33</v>
      </c>
      <c r="E43" s="3">
        <v>0</v>
      </c>
      <c r="F43" s="3">
        <f t="shared" si="1"/>
        <v>80865.33</v>
      </c>
      <c r="G43" s="3">
        <f t="shared" si="4"/>
        <v>22495.29</v>
      </c>
      <c r="H43" s="3">
        <f t="shared" si="5"/>
        <v>9254861.6099999994</v>
      </c>
    </row>
    <row r="44" spans="1:8" x14ac:dyDescent="0.3">
      <c r="A44">
        <v>38</v>
      </c>
      <c r="B44" s="3">
        <f t="shared" si="2"/>
        <v>9254861.6099999994</v>
      </c>
      <c r="C44" s="3">
        <f t="shared" si="3"/>
        <v>58228.5</v>
      </c>
      <c r="D44" s="3">
        <f t="shared" si="0"/>
        <v>80865.33</v>
      </c>
      <c r="E44" s="3">
        <v>0</v>
      </c>
      <c r="F44" s="3">
        <f t="shared" si="1"/>
        <v>80865.33</v>
      </c>
      <c r="G44" s="3">
        <f t="shared" si="4"/>
        <v>22636.83</v>
      </c>
      <c r="H44" s="3">
        <f t="shared" si="5"/>
        <v>9232224.7799999993</v>
      </c>
    </row>
    <row r="45" spans="1:8" x14ac:dyDescent="0.3">
      <c r="A45">
        <v>39</v>
      </c>
      <c r="B45" s="3">
        <f t="shared" si="2"/>
        <v>9232224.7799999993</v>
      </c>
      <c r="C45" s="3">
        <f t="shared" si="3"/>
        <v>58086.080000000002</v>
      </c>
      <c r="D45" s="3">
        <f t="shared" si="0"/>
        <v>80865.33</v>
      </c>
      <c r="E45" s="3">
        <v>0</v>
      </c>
      <c r="F45" s="3">
        <f t="shared" si="1"/>
        <v>80865.33</v>
      </c>
      <c r="G45" s="3">
        <f t="shared" si="4"/>
        <v>22779.25</v>
      </c>
      <c r="H45" s="3">
        <f t="shared" si="5"/>
        <v>9209445.5299999993</v>
      </c>
    </row>
    <row r="46" spans="1:8" x14ac:dyDescent="0.3">
      <c r="A46">
        <v>40</v>
      </c>
      <c r="B46" s="3">
        <f t="shared" si="2"/>
        <v>9209445.5299999993</v>
      </c>
      <c r="C46" s="3">
        <f t="shared" si="3"/>
        <v>57942.76</v>
      </c>
      <c r="D46" s="3">
        <f t="shared" si="0"/>
        <v>80865.33</v>
      </c>
      <c r="E46" s="3">
        <v>0</v>
      </c>
      <c r="F46" s="3">
        <f t="shared" si="1"/>
        <v>80865.33</v>
      </c>
      <c r="G46" s="3">
        <f t="shared" si="4"/>
        <v>22922.57</v>
      </c>
      <c r="H46" s="3">
        <f t="shared" si="5"/>
        <v>9186522.959999999</v>
      </c>
    </row>
    <row r="47" spans="1:8" x14ac:dyDescent="0.3">
      <c r="A47">
        <v>41</v>
      </c>
      <c r="B47" s="3">
        <f t="shared" si="2"/>
        <v>9186522.959999999</v>
      </c>
      <c r="C47" s="3">
        <f t="shared" si="3"/>
        <v>57798.54</v>
      </c>
      <c r="D47" s="3">
        <f t="shared" si="0"/>
        <v>80865.33</v>
      </c>
      <c r="E47" s="3">
        <v>0</v>
      </c>
      <c r="F47" s="3">
        <f t="shared" si="1"/>
        <v>80865.33</v>
      </c>
      <c r="G47" s="3">
        <f t="shared" si="4"/>
        <v>23066.79</v>
      </c>
      <c r="H47" s="3">
        <f t="shared" si="5"/>
        <v>9163456.1699999999</v>
      </c>
    </row>
    <row r="48" spans="1:8" x14ac:dyDescent="0.3">
      <c r="A48">
        <v>42</v>
      </c>
      <c r="B48" s="3">
        <f t="shared" si="2"/>
        <v>9163456.1699999999</v>
      </c>
      <c r="C48" s="3">
        <f t="shared" si="3"/>
        <v>57653.41</v>
      </c>
      <c r="D48" s="3">
        <f t="shared" si="0"/>
        <v>80865.33</v>
      </c>
      <c r="E48" s="3">
        <v>0</v>
      </c>
      <c r="F48" s="3">
        <f t="shared" si="1"/>
        <v>80865.33</v>
      </c>
      <c r="G48" s="3">
        <f t="shared" si="4"/>
        <v>23211.919999999998</v>
      </c>
      <c r="H48" s="3">
        <f t="shared" si="5"/>
        <v>9140244.25</v>
      </c>
    </row>
    <row r="49" spans="1:8" x14ac:dyDescent="0.3">
      <c r="A49">
        <v>43</v>
      </c>
      <c r="B49" s="3">
        <f t="shared" si="2"/>
        <v>9140244.25</v>
      </c>
      <c r="C49" s="3">
        <f t="shared" si="3"/>
        <v>57507.37</v>
      </c>
      <c r="D49" s="3">
        <f t="shared" si="0"/>
        <v>80865.33</v>
      </c>
      <c r="E49" s="3">
        <v>0</v>
      </c>
      <c r="F49" s="3">
        <f t="shared" si="1"/>
        <v>80865.33</v>
      </c>
      <c r="G49" s="3">
        <f t="shared" si="4"/>
        <v>23357.96</v>
      </c>
      <c r="H49" s="3">
        <f t="shared" si="5"/>
        <v>9116886.2899999991</v>
      </c>
    </row>
    <row r="50" spans="1:8" x14ac:dyDescent="0.3">
      <c r="A50">
        <v>44</v>
      </c>
      <c r="B50" s="3">
        <f t="shared" si="2"/>
        <v>9116886.2899999991</v>
      </c>
      <c r="C50" s="3">
        <f t="shared" si="3"/>
        <v>57360.41</v>
      </c>
      <c r="D50" s="3">
        <f t="shared" si="0"/>
        <v>80865.33</v>
      </c>
      <c r="E50" s="3">
        <v>0</v>
      </c>
      <c r="F50" s="3">
        <f t="shared" si="1"/>
        <v>80865.33</v>
      </c>
      <c r="G50" s="3">
        <f t="shared" si="4"/>
        <v>23504.92</v>
      </c>
      <c r="H50" s="3">
        <f t="shared" si="5"/>
        <v>9093381.3699999992</v>
      </c>
    </row>
    <row r="51" spans="1:8" x14ac:dyDescent="0.3">
      <c r="A51">
        <v>45</v>
      </c>
      <c r="B51" s="3">
        <f t="shared" si="2"/>
        <v>9093381.3699999992</v>
      </c>
      <c r="C51" s="3">
        <f t="shared" si="3"/>
        <v>57212.52</v>
      </c>
      <c r="D51" s="3">
        <f t="shared" si="0"/>
        <v>80865.33</v>
      </c>
      <c r="E51" s="3">
        <v>0</v>
      </c>
      <c r="F51" s="3">
        <f t="shared" si="1"/>
        <v>80865.33</v>
      </c>
      <c r="G51" s="3">
        <f t="shared" si="4"/>
        <v>23652.810000000005</v>
      </c>
      <c r="H51" s="3">
        <f t="shared" si="5"/>
        <v>9069728.5599999987</v>
      </c>
    </row>
    <row r="52" spans="1:8" x14ac:dyDescent="0.3">
      <c r="A52">
        <v>46</v>
      </c>
      <c r="B52" s="3">
        <f t="shared" si="2"/>
        <v>9069728.5599999987</v>
      </c>
      <c r="C52" s="3">
        <f t="shared" si="3"/>
        <v>57063.71</v>
      </c>
      <c r="D52" s="3">
        <f t="shared" si="0"/>
        <v>80865.33</v>
      </c>
      <c r="E52" s="3">
        <v>0</v>
      </c>
      <c r="F52" s="3">
        <f t="shared" si="1"/>
        <v>80865.33</v>
      </c>
      <c r="G52" s="3">
        <f t="shared" si="4"/>
        <v>23801.620000000003</v>
      </c>
      <c r="H52" s="3">
        <f t="shared" si="5"/>
        <v>9045926.9399999995</v>
      </c>
    </row>
    <row r="53" spans="1:8" x14ac:dyDescent="0.3">
      <c r="A53">
        <v>47</v>
      </c>
      <c r="B53" s="3">
        <f t="shared" si="2"/>
        <v>9045926.9399999995</v>
      </c>
      <c r="C53" s="3">
        <f t="shared" si="3"/>
        <v>56913.96</v>
      </c>
      <c r="D53" s="3">
        <f t="shared" si="0"/>
        <v>80865.33</v>
      </c>
      <c r="E53" s="3">
        <v>0</v>
      </c>
      <c r="F53" s="3">
        <f t="shared" si="1"/>
        <v>80865.33</v>
      </c>
      <c r="G53" s="3">
        <f t="shared" si="4"/>
        <v>23951.370000000003</v>
      </c>
      <c r="H53" s="3">
        <f t="shared" si="5"/>
        <v>9021975.5700000003</v>
      </c>
    </row>
    <row r="54" spans="1:8" x14ac:dyDescent="0.3">
      <c r="A54">
        <v>48</v>
      </c>
      <c r="B54" s="3">
        <f t="shared" si="2"/>
        <v>9021975.5700000003</v>
      </c>
      <c r="C54" s="3">
        <f t="shared" si="3"/>
        <v>56763.26</v>
      </c>
      <c r="D54" s="3">
        <f t="shared" si="0"/>
        <v>80865.33</v>
      </c>
      <c r="E54" s="3">
        <v>0</v>
      </c>
      <c r="F54" s="3">
        <f t="shared" si="1"/>
        <v>80865.33</v>
      </c>
      <c r="G54" s="3">
        <f t="shared" si="4"/>
        <v>24102.07</v>
      </c>
      <c r="H54" s="3">
        <f t="shared" si="5"/>
        <v>8997873.5</v>
      </c>
    </row>
    <row r="55" spans="1:8" x14ac:dyDescent="0.3">
      <c r="A55">
        <v>49</v>
      </c>
      <c r="B55" s="3">
        <f t="shared" si="2"/>
        <v>8997873.5</v>
      </c>
      <c r="C55" s="3">
        <f t="shared" si="3"/>
        <v>56611.62</v>
      </c>
      <c r="D55" s="3">
        <f t="shared" si="0"/>
        <v>80865.33</v>
      </c>
      <c r="E55" s="3">
        <v>0</v>
      </c>
      <c r="F55" s="3">
        <f t="shared" si="1"/>
        <v>80865.33</v>
      </c>
      <c r="G55" s="3">
        <f t="shared" si="4"/>
        <v>24253.71</v>
      </c>
      <c r="H55" s="3">
        <f t="shared" si="5"/>
        <v>8973619.7899999991</v>
      </c>
    </row>
    <row r="56" spans="1:8" x14ac:dyDescent="0.3">
      <c r="A56">
        <v>50</v>
      </c>
      <c r="B56" s="3">
        <f t="shared" si="2"/>
        <v>8973619.7899999991</v>
      </c>
      <c r="C56" s="3">
        <f t="shared" si="3"/>
        <v>56459.02</v>
      </c>
      <c r="D56" s="3">
        <f t="shared" si="0"/>
        <v>80865.33</v>
      </c>
      <c r="E56" s="3">
        <v>0</v>
      </c>
      <c r="F56" s="3">
        <f t="shared" si="1"/>
        <v>80865.33</v>
      </c>
      <c r="G56" s="3">
        <f t="shared" si="4"/>
        <v>24406.310000000005</v>
      </c>
      <c r="H56" s="3">
        <f t="shared" si="5"/>
        <v>8949213.4799999986</v>
      </c>
    </row>
    <row r="57" spans="1:8" x14ac:dyDescent="0.3">
      <c r="A57">
        <v>51</v>
      </c>
      <c r="B57" s="3">
        <f t="shared" si="2"/>
        <v>8949213.4799999986</v>
      </c>
      <c r="C57" s="3">
        <f t="shared" si="3"/>
        <v>56305.47</v>
      </c>
      <c r="D57" s="3">
        <f t="shared" si="0"/>
        <v>80865.33</v>
      </c>
      <c r="E57" s="3">
        <v>0</v>
      </c>
      <c r="F57" s="3">
        <f t="shared" si="1"/>
        <v>80865.33</v>
      </c>
      <c r="G57" s="3">
        <f t="shared" si="4"/>
        <v>24559.86</v>
      </c>
      <c r="H57" s="3">
        <f t="shared" si="5"/>
        <v>8924653.6199999992</v>
      </c>
    </row>
    <row r="58" spans="1:8" x14ac:dyDescent="0.3">
      <c r="A58">
        <v>52</v>
      </c>
      <c r="B58" s="3">
        <f t="shared" si="2"/>
        <v>8924653.6199999992</v>
      </c>
      <c r="C58" s="3">
        <f t="shared" si="3"/>
        <v>56150.95</v>
      </c>
      <c r="D58" s="3">
        <f t="shared" si="0"/>
        <v>80865.33</v>
      </c>
      <c r="E58" s="3">
        <v>0</v>
      </c>
      <c r="F58" s="3">
        <f t="shared" si="1"/>
        <v>80865.33</v>
      </c>
      <c r="G58" s="3">
        <f t="shared" si="4"/>
        <v>24714.380000000005</v>
      </c>
      <c r="H58" s="3">
        <f t="shared" si="5"/>
        <v>8899939.2399999984</v>
      </c>
    </row>
    <row r="59" spans="1:8" x14ac:dyDescent="0.3">
      <c r="A59">
        <v>53</v>
      </c>
      <c r="B59" s="3">
        <f t="shared" si="2"/>
        <v>8899939.2399999984</v>
      </c>
      <c r="C59" s="3">
        <f t="shared" si="3"/>
        <v>55995.45</v>
      </c>
      <c r="D59" s="3">
        <f t="shared" si="0"/>
        <v>80865.33</v>
      </c>
      <c r="E59" s="3">
        <v>0</v>
      </c>
      <c r="F59" s="3">
        <f t="shared" si="1"/>
        <v>80865.33</v>
      </c>
      <c r="G59" s="3">
        <f t="shared" si="4"/>
        <v>24869.880000000005</v>
      </c>
      <c r="H59" s="3">
        <f t="shared" si="5"/>
        <v>8875069.3599999975</v>
      </c>
    </row>
    <row r="60" spans="1:8" x14ac:dyDescent="0.3">
      <c r="A60">
        <v>54</v>
      </c>
      <c r="B60" s="3">
        <f t="shared" si="2"/>
        <v>8875069.3599999975</v>
      </c>
      <c r="C60" s="3">
        <f t="shared" si="3"/>
        <v>55838.98</v>
      </c>
      <c r="D60" s="3">
        <f t="shared" si="0"/>
        <v>80865.33</v>
      </c>
      <c r="E60" s="3">
        <v>0</v>
      </c>
      <c r="F60" s="3">
        <f t="shared" si="1"/>
        <v>80865.33</v>
      </c>
      <c r="G60" s="3">
        <f t="shared" si="4"/>
        <v>25026.35</v>
      </c>
      <c r="H60" s="3">
        <f t="shared" si="5"/>
        <v>8850043.0099999979</v>
      </c>
    </row>
    <row r="61" spans="1:8" x14ac:dyDescent="0.3">
      <c r="A61">
        <v>55</v>
      </c>
      <c r="B61" s="3">
        <f t="shared" si="2"/>
        <v>8850043.0099999979</v>
      </c>
      <c r="C61" s="3">
        <f t="shared" si="3"/>
        <v>55681.52</v>
      </c>
      <c r="D61" s="3">
        <f t="shared" si="0"/>
        <v>80865.33</v>
      </c>
      <c r="E61" s="3">
        <v>0</v>
      </c>
      <c r="F61" s="3">
        <f t="shared" si="1"/>
        <v>80865.33</v>
      </c>
      <c r="G61" s="3">
        <f t="shared" si="4"/>
        <v>25183.810000000005</v>
      </c>
      <c r="H61" s="3">
        <f t="shared" si="5"/>
        <v>8824859.1999999974</v>
      </c>
    </row>
    <row r="62" spans="1:8" x14ac:dyDescent="0.3">
      <c r="A62">
        <v>56</v>
      </c>
      <c r="B62" s="3">
        <f t="shared" si="2"/>
        <v>8824859.1999999974</v>
      </c>
      <c r="C62" s="3">
        <f t="shared" si="3"/>
        <v>55523.07</v>
      </c>
      <c r="D62" s="3">
        <f t="shared" si="0"/>
        <v>80865.33</v>
      </c>
      <c r="E62" s="3">
        <v>0</v>
      </c>
      <c r="F62" s="3">
        <f t="shared" si="1"/>
        <v>80865.33</v>
      </c>
      <c r="G62" s="3">
        <f t="shared" si="4"/>
        <v>25342.260000000002</v>
      </c>
      <c r="H62" s="3">
        <f t="shared" si="5"/>
        <v>8799516.9399999976</v>
      </c>
    </row>
    <row r="63" spans="1:8" x14ac:dyDescent="0.3">
      <c r="A63">
        <v>57</v>
      </c>
      <c r="B63" s="3">
        <f t="shared" si="2"/>
        <v>8799516.9399999976</v>
      </c>
      <c r="C63" s="3">
        <f t="shared" si="3"/>
        <v>55363.63</v>
      </c>
      <c r="D63" s="3">
        <f t="shared" si="0"/>
        <v>80865.33</v>
      </c>
      <c r="E63" s="3">
        <v>0</v>
      </c>
      <c r="F63" s="3">
        <f t="shared" si="1"/>
        <v>80865.33</v>
      </c>
      <c r="G63" s="3">
        <f t="shared" si="4"/>
        <v>25501.700000000004</v>
      </c>
      <c r="H63" s="3">
        <f t="shared" si="5"/>
        <v>8774015.2399999984</v>
      </c>
    </row>
    <row r="64" spans="1:8" x14ac:dyDescent="0.3">
      <c r="A64">
        <v>58</v>
      </c>
      <c r="B64" s="3">
        <f t="shared" si="2"/>
        <v>8774015.2399999984</v>
      </c>
      <c r="C64" s="3">
        <f t="shared" si="3"/>
        <v>55203.18</v>
      </c>
      <c r="D64" s="3">
        <f t="shared" si="0"/>
        <v>80865.33</v>
      </c>
      <c r="E64" s="3">
        <v>0</v>
      </c>
      <c r="F64" s="3">
        <f t="shared" si="1"/>
        <v>80865.33</v>
      </c>
      <c r="G64" s="3">
        <f t="shared" si="4"/>
        <v>25662.15</v>
      </c>
      <c r="H64" s="3">
        <f t="shared" si="5"/>
        <v>8748353.089999998</v>
      </c>
    </row>
    <row r="65" spans="1:8" x14ac:dyDescent="0.3">
      <c r="A65">
        <v>59</v>
      </c>
      <c r="B65" s="3">
        <f t="shared" si="2"/>
        <v>8748353.089999998</v>
      </c>
      <c r="C65" s="3">
        <f t="shared" si="3"/>
        <v>55041.72</v>
      </c>
      <c r="D65" s="3">
        <f t="shared" si="0"/>
        <v>80865.33</v>
      </c>
      <c r="E65" s="3">
        <v>0</v>
      </c>
      <c r="F65" s="3">
        <f t="shared" si="1"/>
        <v>80865.33</v>
      </c>
      <c r="G65" s="3">
        <f t="shared" si="4"/>
        <v>25823.61</v>
      </c>
      <c r="H65" s="3">
        <f t="shared" si="5"/>
        <v>8722529.4799999986</v>
      </c>
    </row>
    <row r="66" spans="1:8" x14ac:dyDescent="0.3">
      <c r="A66">
        <v>60</v>
      </c>
      <c r="B66" s="3">
        <f t="shared" si="2"/>
        <v>8722529.4799999986</v>
      </c>
      <c r="C66" s="3">
        <f t="shared" si="3"/>
        <v>54879.25</v>
      </c>
      <c r="D66" s="3">
        <f t="shared" si="0"/>
        <v>80865.33</v>
      </c>
      <c r="E66" s="3">
        <v>0</v>
      </c>
      <c r="F66" s="3">
        <f t="shared" si="1"/>
        <v>80865.33</v>
      </c>
      <c r="G66" s="3">
        <f t="shared" si="4"/>
        <v>25986.080000000002</v>
      </c>
      <c r="H66" s="3">
        <f t="shared" si="5"/>
        <v>8696543.3999999985</v>
      </c>
    </row>
    <row r="67" spans="1:8" x14ac:dyDescent="0.3">
      <c r="A67">
        <v>61</v>
      </c>
      <c r="B67" s="3">
        <f t="shared" si="2"/>
        <v>8696543.3999999985</v>
      </c>
      <c r="C67" s="3">
        <f t="shared" si="3"/>
        <v>54715.75</v>
      </c>
      <c r="D67" s="3">
        <f t="shared" si="0"/>
        <v>80865.33</v>
      </c>
      <c r="E67" s="3">
        <v>0</v>
      </c>
      <c r="F67" s="3">
        <f t="shared" si="1"/>
        <v>80865.33</v>
      </c>
      <c r="G67" s="3">
        <f t="shared" si="4"/>
        <v>26149.58</v>
      </c>
      <c r="H67" s="3">
        <f t="shared" si="5"/>
        <v>8670393.8199999984</v>
      </c>
    </row>
    <row r="68" spans="1:8" x14ac:dyDescent="0.3">
      <c r="A68">
        <v>62</v>
      </c>
      <c r="B68" s="3">
        <f t="shared" si="2"/>
        <v>8670393.8199999984</v>
      </c>
      <c r="C68" s="3">
        <f t="shared" si="3"/>
        <v>54551.23</v>
      </c>
      <c r="D68" s="3">
        <f t="shared" si="0"/>
        <v>80865.33</v>
      </c>
      <c r="E68" s="3">
        <v>0</v>
      </c>
      <c r="F68" s="3">
        <f t="shared" si="1"/>
        <v>80865.33</v>
      </c>
      <c r="G68" s="3">
        <f t="shared" si="4"/>
        <v>26314.1</v>
      </c>
      <c r="H68" s="3">
        <f t="shared" si="5"/>
        <v>8644079.7199999988</v>
      </c>
    </row>
    <row r="69" spans="1:8" x14ac:dyDescent="0.3">
      <c r="A69">
        <v>63</v>
      </c>
      <c r="B69" s="3">
        <f t="shared" si="2"/>
        <v>8644079.7199999988</v>
      </c>
      <c r="C69" s="3">
        <f t="shared" si="3"/>
        <v>54385.67</v>
      </c>
      <c r="D69" s="3">
        <f t="shared" si="0"/>
        <v>80865.33</v>
      </c>
      <c r="E69" s="3">
        <v>0</v>
      </c>
      <c r="F69" s="3">
        <f t="shared" si="1"/>
        <v>80865.33</v>
      </c>
      <c r="G69" s="3">
        <f t="shared" si="4"/>
        <v>26479.660000000003</v>
      </c>
      <c r="H69" s="3">
        <f t="shared" si="5"/>
        <v>8617600.0599999987</v>
      </c>
    </row>
    <row r="70" spans="1:8" x14ac:dyDescent="0.3">
      <c r="A70">
        <v>64</v>
      </c>
      <c r="B70" s="3">
        <f t="shared" si="2"/>
        <v>8617600.0599999987</v>
      </c>
      <c r="C70" s="3">
        <f t="shared" si="3"/>
        <v>54219.07</v>
      </c>
      <c r="D70" s="3">
        <f t="shared" si="0"/>
        <v>80865.33</v>
      </c>
      <c r="E70" s="3">
        <v>0</v>
      </c>
      <c r="F70" s="3">
        <f t="shared" si="1"/>
        <v>80865.33</v>
      </c>
      <c r="G70" s="3">
        <f t="shared" si="4"/>
        <v>26646.260000000002</v>
      </c>
      <c r="H70" s="3">
        <f t="shared" si="5"/>
        <v>8590953.7999999989</v>
      </c>
    </row>
    <row r="71" spans="1:8" x14ac:dyDescent="0.3">
      <c r="A71">
        <v>65</v>
      </c>
      <c r="B71" s="3">
        <f t="shared" si="2"/>
        <v>8590953.7999999989</v>
      </c>
      <c r="C71" s="3">
        <f t="shared" si="3"/>
        <v>54051.42</v>
      </c>
      <c r="D71" s="3">
        <f t="shared" ref="D71:D134" si="6">$E$1</f>
        <v>80865.33</v>
      </c>
      <c r="E71" s="3">
        <v>0</v>
      </c>
      <c r="F71" s="3">
        <f t="shared" ref="F71:F134" si="7">D71+E71</f>
        <v>80865.33</v>
      </c>
      <c r="G71" s="3">
        <f t="shared" si="4"/>
        <v>26813.910000000003</v>
      </c>
      <c r="H71" s="3">
        <f t="shared" si="5"/>
        <v>8564139.8899999987</v>
      </c>
    </row>
    <row r="72" spans="1:8" x14ac:dyDescent="0.3">
      <c r="A72">
        <v>66</v>
      </c>
      <c r="B72" s="3">
        <f t="shared" ref="B72:B135" si="8">H71</f>
        <v>8564139.8899999987</v>
      </c>
      <c r="C72" s="3">
        <f t="shared" ref="C72:C135" si="9">ROUND(B72*($B$2/12/100), 2)</f>
        <v>53882.71</v>
      </c>
      <c r="D72" s="3">
        <f t="shared" si="6"/>
        <v>80865.33</v>
      </c>
      <c r="E72" s="3">
        <v>0</v>
      </c>
      <c r="F72" s="3">
        <f t="shared" si="7"/>
        <v>80865.33</v>
      </c>
      <c r="G72" s="3">
        <f t="shared" ref="G72:G135" si="10">MIN(B72, F72-C72)</f>
        <v>26982.620000000003</v>
      </c>
      <c r="H72" s="3">
        <f t="shared" ref="H72:H135" si="11">MAX(0, B72-G72)</f>
        <v>8537157.2699999996</v>
      </c>
    </row>
    <row r="73" spans="1:8" x14ac:dyDescent="0.3">
      <c r="A73">
        <v>67</v>
      </c>
      <c r="B73" s="3">
        <f t="shared" si="8"/>
        <v>8537157.2699999996</v>
      </c>
      <c r="C73" s="3">
        <f t="shared" si="9"/>
        <v>53712.95</v>
      </c>
      <c r="D73" s="3">
        <f t="shared" si="6"/>
        <v>80865.33</v>
      </c>
      <c r="E73" s="3">
        <v>0</v>
      </c>
      <c r="F73" s="3">
        <f t="shared" si="7"/>
        <v>80865.33</v>
      </c>
      <c r="G73" s="3">
        <f t="shared" si="10"/>
        <v>27152.380000000005</v>
      </c>
      <c r="H73" s="3">
        <f t="shared" si="11"/>
        <v>8510004.8899999987</v>
      </c>
    </row>
    <row r="74" spans="1:8" x14ac:dyDescent="0.3">
      <c r="A74">
        <v>68</v>
      </c>
      <c r="B74" s="3">
        <f t="shared" si="8"/>
        <v>8510004.8899999987</v>
      </c>
      <c r="C74" s="3">
        <f t="shared" si="9"/>
        <v>53542.11</v>
      </c>
      <c r="D74" s="3">
        <f t="shared" si="6"/>
        <v>80865.33</v>
      </c>
      <c r="E74" s="3">
        <v>0</v>
      </c>
      <c r="F74" s="3">
        <f t="shared" si="7"/>
        <v>80865.33</v>
      </c>
      <c r="G74" s="3">
        <f t="shared" si="10"/>
        <v>27323.22</v>
      </c>
      <c r="H74" s="3">
        <f t="shared" si="11"/>
        <v>8482681.6699999981</v>
      </c>
    </row>
    <row r="75" spans="1:8" x14ac:dyDescent="0.3">
      <c r="A75">
        <v>69</v>
      </c>
      <c r="B75" s="3">
        <f t="shared" si="8"/>
        <v>8482681.6699999981</v>
      </c>
      <c r="C75" s="3">
        <f t="shared" si="9"/>
        <v>53370.21</v>
      </c>
      <c r="D75" s="3">
        <f t="shared" si="6"/>
        <v>80865.33</v>
      </c>
      <c r="E75" s="3">
        <v>0</v>
      </c>
      <c r="F75" s="3">
        <f t="shared" si="7"/>
        <v>80865.33</v>
      </c>
      <c r="G75" s="3">
        <f t="shared" si="10"/>
        <v>27495.120000000003</v>
      </c>
      <c r="H75" s="3">
        <f t="shared" si="11"/>
        <v>8455186.5499999989</v>
      </c>
    </row>
    <row r="76" spans="1:8" x14ac:dyDescent="0.3">
      <c r="A76">
        <v>70</v>
      </c>
      <c r="B76" s="3">
        <f t="shared" si="8"/>
        <v>8455186.5499999989</v>
      </c>
      <c r="C76" s="3">
        <f t="shared" si="9"/>
        <v>53197.22</v>
      </c>
      <c r="D76" s="3">
        <f t="shared" si="6"/>
        <v>80865.33</v>
      </c>
      <c r="E76" s="3">
        <v>0</v>
      </c>
      <c r="F76" s="3">
        <f t="shared" si="7"/>
        <v>80865.33</v>
      </c>
      <c r="G76" s="3">
        <f t="shared" si="10"/>
        <v>27668.11</v>
      </c>
      <c r="H76" s="3">
        <f t="shared" si="11"/>
        <v>8427518.4399999995</v>
      </c>
    </row>
    <row r="77" spans="1:8" x14ac:dyDescent="0.3">
      <c r="A77">
        <v>71</v>
      </c>
      <c r="B77" s="3">
        <f t="shared" si="8"/>
        <v>8427518.4399999995</v>
      </c>
      <c r="C77" s="3">
        <f t="shared" si="9"/>
        <v>53023.14</v>
      </c>
      <c r="D77" s="3">
        <f t="shared" si="6"/>
        <v>80865.33</v>
      </c>
      <c r="E77" s="3">
        <v>0</v>
      </c>
      <c r="F77" s="3">
        <f t="shared" si="7"/>
        <v>80865.33</v>
      </c>
      <c r="G77" s="3">
        <f t="shared" si="10"/>
        <v>27842.190000000002</v>
      </c>
      <c r="H77" s="3">
        <f t="shared" si="11"/>
        <v>8399676.25</v>
      </c>
    </row>
    <row r="78" spans="1:8" x14ac:dyDescent="0.3">
      <c r="A78">
        <v>72</v>
      </c>
      <c r="B78" s="3">
        <f t="shared" si="8"/>
        <v>8399676.25</v>
      </c>
      <c r="C78" s="3">
        <f t="shared" si="9"/>
        <v>52847.96</v>
      </c>
      <c r="D78" s="3">
        <f t="shared" si="6"/>
        <v>80865.33</v>
      </c>
      <c r="E78" s="3">
        <v>0</v>
      </c>
      <c r="F78" s="3">
        <f t="shared" si="7"/>
        <v>80865.33</v>
      </c>
      <c r="G78" s="3">
        <f t="shared" si="10"/>
        <v>28017.370000000003</v>
      </c>
      <c r="H78" s="3">
        <f t="shared" si="11"/>
        <v>8371658.8799999999</v>
      </c>
    </row>
    <row r="79" spans="1:8" x14ac:dyDescent="0.3">
      <c r="A79">
        <v>73</v>
      </c>
      <c r="B79" s="3">
        <f t="shared" si="8"/>
        <v>8371658.8799999999</v>
      </c>
      <c r="C79" s="3">
        <f t="shared" si="9"/>
        <v>52671.69</v>
      </c>
      <c r="D79" s="3">
        <f t="shared" si="6"/>
        <v>80865.33</v>
      </c>
      <c r="E79" s="3">
        <v>0</v>
      </c>
      <c r="F79" s="3">
        <f t="shared" si="7"/>
        <v>80865.33</v>
      </c>
      <c r="G79" s="3">
        <f t="shared" si="10"/>
        <v>28193.64</v>
      </c>
      <c r="H79" s="3">
        <f t="shared" si="11"/>
        <v>8343465.2400000002</v>
      </c>
    </row>
    <row r="80" spans="1:8" x14ac:dyDescent="0.3">
      <c r="A80">
        <v>74</v>
      </c>
      <c r="B80" s="3">
        <f t="shared" si="8"/>
        <v>8343465.2400000002</v>
      </c>
      <c r="C80" s="3">
        <f t="shared" si="9"/>
        <v>52494.3</v>
      </c>
      <c r="D80" s="3">
        <f t="shared" si="6"/>
        <v>80865.33</v>
      </c>
      <c r="E80" s="3">
        <v>0</v>
      </c>
      <c r="F80" s="3">
        <f t="shared" si="7"/>
        <v>80865.33</v>
      </c>
      <c r="G80" s="3">
        <f t="shared" si="10"/>
        <v>28371.03</v>
      </c>
      <c r="H80" s="3">
        <f t="shared" si="11"/>
        <v>8315094.21</v>
      </c>
    </row>
    <row r="81" spans="1:8" x14ac:dyDescent="0.3">
      <c r="A81">
        <v>75</v>
      </c>
      <c r="B81" s="3">
        <f t="shared" si="8"/>
        <v>8315094.21</v>
      </c>
      <c r="C81" s="3">
        <f t="shared" si="9"/>
        <v>52315.8</v>
      </c>
      <c r="D81" s="3">
        <f t="shared" si="6"/>
        <v>80865.33</v>
      </c>
      <c r="E81" s="3">
        <v>0</v>
      </c>
      <c r="F81" s="3">
        <f t="shared" si="7"/>
        <v>80865.33</v>
      </c>
      <c r="G81" s="3">
        <f t="shared" si="10"/>
        <v>28549.53</v>
      </c>
      <c r="H81" s="3">
        <f t="shared" si="11"/>
        <v>8286544.6799999997</v>
      </c>
    </row>
    <row r="82" spans="1:8" x14ac:dyDescent="0.3">
      <c r="A82">
        <v>76</v>
      </c>
      <c r="B82" s="3">
        <f t="shared" si="8"/>
        <v>8286544.6799999997</v>
      </c>
      <c r="C82" s="3">
        <f t="shared" si="9"/>
        <v>52136.18</v>
      </c>
      <c r="D82" s="3">
        <f t="shared" si="6"/>
        <v>80865.33</v>
      </c>
      <c r="E82" s="3">
        <v>0</v>
      </c>
      <c r="F82" s="3">
        <f t="shared" si="7"/>
        <v>80865.33</v>
      </c>
      <c r="G82" s="3">
        <f t="shared" si="10"/>
        <v>28729.15</v>
      </c>
      <c r="H82" s="3">
        <f t="shared" si="11"/>
        <v>8257815.5299999993</v>
      </c>
    </row>
    <row r="83" spans="1:8" x14ac:dyDescent="0.3">
      <c r="A83">
        <v>77</v>
      </c>
      <c r="B83" s="3">
        <f t="shared" si="8"/>
        <v>8257815.5299999993</v>
      </c>
      <c r="C83" s="3">
        <f t="shared" si="9"/>
        <v>51955.42</v>
      </c>
      <c r="D83" s="3">
        <f t="shared" si="6"/>
        <v>80865.33</v>
      </c>
      <c r="E83" s="3">
        <v>0</v>
      </c>
      <c r="F83" s="3">
        <f t="shared" si="7"/>
        <v>80865.33</v>
      </c>
      <c r="G83" s="3">
        <f t="shared" si="10"/>
        <v>28909.910000000003</v>
      </c>
      <c r="H83" s="3">
        <f t="shared" si="11"/>
        <v>8228905.6199999992</v>
      </c>
    </row>
    <row r="84" spans="1:8" x14ac:dyDescent="0.3">
      <c r="A84">
        <v>78</v>
      </c>
      <c r="B84" s="3">
        <f t="shared" si="8"/>
        <v>8228905.6199999992</v>
      </c>
      <c r="C84" s="3">
        <f t="shared" si="9"/>
        <v>51773.53</v>
      </c>
      <c r="D84" s="3">
        <f t="shared" si="6"/>
        <v>80865.33</v>
      </c>
      <c r="E84" s="3">
        <v>0</v>
      </c>
      <c r="F84" s="3">
        <f t="shared" si="7"/>
        <v>80865.33</v>
      </c>
      <c r="G84" s="3">
        <f t="shared" si="10"/>
        <v>29091.800000000003</v>
      </c>
      <c r="H84" s="3">
        <f t="shared" si="11"/>
        <v>8199813.8199999994</v>
      </c>
    </row>
    <row r="85" spans="1:8" x14ac:dyDescent="0.3">
      <c r="A85">
        <v>79</v>
      </c>
      <c r="B85" s="3">
        <f t="shared" si="8"/>
        <v>8199813.8199999994</v>
      </c>
      <c r="C85" s="3">
        <f t="shared" si="9"/>
        <v>51590.5</v>
      </c>
      <c r="D85" s="3">
        <f t="shared" si="6"/>
        <v>80865.33</v>
      </c>
      <c r="E85" s="3">
        <v>0</v>
      </c>
      <c r="F85" s="3">
        <f t="shared" si="7"/>
        <v>80865.33</v>
      </c>
      <c r="G85" s="3">
        <f t="shared" si="10"/>
        <v>29274.83</v>
      </c>
      <c r="H85" s="3">
        <f t="shared" si="11"/>
        <v>8170538.9899999993</v>
      </c>
    </row>
    <row r="86" spans="1:8" x14ac:dyDescent="0.3">
      <c r="A86">
        <v>80</v>
      </c>
      <c r="B86" s="3">
        <f t="shared" si="8"/>
        <v>8170538.9899999993</v>
      </c>
      <c r="C86" s="3">
        <f t="shared" si="9"/>
        <v>51406.31</v>
      </c>
      <c r="D86" s="3">
        <f t="shared" si="6"/>
        <v>80865.33</v>
      </c>
      <c r="E86" s="3">
        <v>0</v>
      </c>
      <c r="F86" s="3">
        <f t="shared" si="7"/>
        <v>80865.33</v>
      </c>
      <c r="G86" s="3">
        <f t="shared" si="10"/>
        <v>29459.020000000004</v>
      </c>
      <c r="H86" s="3">
        <f t="shared" si="11"/>
        <v>8141079.9699999997</v>
      </c>
    </row>
    <row r="87" spans="1:8" x14ac:dyDescent="0.3">
      <c r="A87">
        <v>81</v>
      </c>
      <c r="B87" s="3">
        <f t="shared" si="8"/>
        <v>8141079.9699999997</v>
      </c>
      <c r="C87" s="3">
        <f t="shared" si="9"/>
        <v>51220.959999999999</v>
      </c>
      <c r="D87" s="3">
        <f t="shared" si="6"/>
        <v>80865.33</v>
      </c>
      <c r="E87" s="3">
        <v>0</v>
      </c>
      <c r="F87" s="3">
        <f t="shared" si="7"/>
        <v>80865.33</v>
      </c>
      <c r="G87" s="3">
        <f t="shared" si="10"/>
        <v>29644.370000000003</v>
      </c>
      <c r="H87" s="3">
        <f t="shared" si="11"/>
        <v>8111435.5999999996</v>
      </c>
    </row>
    <row r="88" spans="1:8" x14ac:dyDescent="0.3">
      <c r="A88">
        <v>82</v>
      </c>
      <c r="B88" s="3">
        <f t="shared" si="8"/>
        <v>8111435.5999999996</v>
      </c>
      <c r="C88" s="3">
        <f t="shared" si="9"/>
        <v>51034.45</v>
      </c>
      <c r="D88" s="3">
        <f t="shared" si="6"/>
        <v>80865.33</v>
      </c>
      <c r="E88" s="3">
        <v>0</v>
      </c>
      <c r="F88" s="3">
        <f t="shared" si="7"/>
        <v>80865.33</v>
      </c>
      <c r="G88" s="3">
        <f t="shared" si="10"/>
        <v>29830.880000000005</v>
      </c>
      <c r="H88" s="3">
        <f t="shared" si="11"/>
        <v>8081604.7199999997</v>
      </c>
    </row>
    <row r="89" spans="1:8" x14ac:dyDescent="0.3">
      <c r="A89">
        <v>83</v>
      </c>
      <c r="B89" s="3">
        <f t="shared" si="8"/>
        <v>8081604.7199999997</v>
      </c>
      <c r="C89" s="3">
        <f t="shared" si="9"/>
        <v>50846.76</v>
      </c>
      <c r="D89" s="3">
        <f t="shared" si="6"/>
        <v>80865.33</v>
      </c>
      <c r="E89" s="3">
        <v>0</v>
      </c>
      <c r="F89" s="3">
        <f t="shared" si="7"/>
        <v>80865.33</v>
      </c>
      <c r="G89" s="3">
        <f t="shared" si="10"/>
        <v>30018.57</v>
      </c>
      <c r="H89" s="3">
        <f t="shared" si="11"/>
        <v>8051586.1499999994</v>
      </c>
    </row>
    <row r="90" spans="1:8" x14ac:dyDescent="0.3">
      <c r="A90">
        <v>84</v>
      </c>
      <c r="B90" s="3">
        <f t="shared" si="8"/>
        <v>8051586.1499999994</v>
      </c>
      <c r="C90" s="3">
        <f t="shared" si="9"/>
        <v>50657.9</v>
      </c>
      <c r="D90" s="3">
        <f t="shared" si="6"/>
        <v>80865.33</v>
      </c>
      <c r="E90" s="3">
        <v>0</v>
      </c>
      <c r="F90" s="3">
        <f t="shared" si="7"/>
        <v>80865.33</v>
      </c>
      <c r="G90" s="3">
        <f t="shared" si="10"/>
        <v>30207.43</v>
      </c>
      <c r="H90" s="3">
        <f t="shared" si="11"/>
        <v>8021378.7199999997</v>
      </c>
    </row>
    <row r="91" spans="1:8" x14ac:dyDescent="0.3">
      <c r="A91">
        <v>85</v>
      </c>
      <c r="B91" s="3">
        <f t="shared" si="8"/>
        <v>8021378.7199999997</v>
      </c>
      <c r="C91" s="3">
        <f t="shared" si="9"/>
        <v>50467.839999999997</v>
      </c>
      <c r="D91" s="3">
        <f t="shared" si="6"/>
        <v>80865.33</v>
      </c>
      <c r="E91" s="3">
        <v>0</v>
      </c>
      <c r="F91" s="3">
        <f t="shared" si="7"/>
        <v>80865.33</v>
      </c>
      <c r="G91" s="3">
        <f t="shared" si="10"/>
        <v>30397.490000000005</v>
      </c>
      <c r="H91" s="3">
        <f t="shared" si="11"/>
        <v>7990981.2299999995</v>
      </c>
    </row>
    <row r="92" spans="1:8" x14ac:dyDescent="0.3">
      <c r="A92">
        <v>86</v>
      </c>
      <c r="B92" s="3">
        <f t="shared" si="8"/>
        <v>7990981.2299999995</v>
      </c>
      <c r="C92" s="3">
        <f t="shared" si="9"/>
        <v>50276.59</v>
      </c>
      <c r="D92" s="3">
        <f t="shared" si="6"/>
        <v>80865.33</v>
      </c>
      <c r="E92" s="3">
        <v>0</v>
      </c>
      <c r="F92" s="3">
        <f t="shared" si="7"/>
        <v>80865.33</v>
      </c>
      <c r="G92" s="3">
        <f t="shared" si="10"/>
        <v>30588.740000000005</v>
      </c>
      <c r="H92" s="3">
        <f t="shared" si="11"/>
        <v>7960392.4899999993</v>
      </c>
    </row>
    <row r="93" spans="1:8" x14ac:dyDescent="0.3">
      <c r="A93">
        <v>87</v>
      </c>
      <c r="B93" s="3">
        <f t="shared" si="8"/>
        <v>7960392.4899999993</v>
      </c>
      <c r="C93" s="3">
        <f t="shared" si="9"/>
        <v>50084.14</v>
      </c>
      <c r="D93" s="3">
        <f t="shared" si="6"/>
        <v>80865.33</v>
      </c>
      <c r="E93" s="3">
        <v>0</v>
      </c>
      <c r="F93" s="3">
        <f t="shared" si="7"/>
        <v>80865.33</v>
      </c>
      <c r="G93" s="3">
        <f t="shared" si="10"/>
        <v>30781.190000000002</v>
      </c>
      <c r="H93" s="3">
        <f t="shared" si="11"/>
        <v>7929611.2999999989</v>
      </c>
    </row>
    <row r="94" spans="1:8" x14ac:dyDescent="0.3">
      <c r="A94">
        <v>88</v>
      </c>
      <c r="B94" s="3">
        <f t="shared" si="8"/>
        <v>7929611.2999999989</v>
      </c>
      <c r="C94" s="3">
        <f t="shared" si="9"/>
        <v>49890.47</v>
      </c>
      <c r="D94" s="3">
        <f t="shared" si="6"/>
        <v>80865.33</v>
      </c>
      <c r="E94" s="3">
        <v>0</v>
      </c>
      <c r="F94" s="3">
        <f t="shared" si="7"/>
        <v>80865.33</v>
      </c>
      <c r="G94" s="3">
        <f t="shared" si="10"/>
        <v>30974.86</v>
      </c>
      <c r="H94" s="3">
        <f t="shared" si="11"/>
        <v>7898636.4399999985</v>
      </c>
    </row>
    <row r="95" spans="1:8" x14ac:dyDescent="0.3">
      <c r="A95">
        <v>89</v>
      </c>
      <c r="B95" s="3">
        <f t="shared" si="8"/>
        <v>7898636.4399999985</v>
      </c>
      <c r="C95" s="3">
        <f t="shared" si="9"/>
        <v>49695.59</v>
      </c>
      <c r="D95" s="3">
        <f t="shared" si="6"/>
        <v>80865.33</v>
      </c>
      <c r="E95" s="3">
        <v>0</v>
      </c>
      <c r="F95" s="3">
        <f t="shared" si="7"/>
        <v>80865.33</v>
      </c>
      <c r="G95" s="3">
        <f t="shared" si="10"/>
        <v>31169.740000000005</v>
      </c>
      <c r="H95" s="3">
        <f t="shared" si="11"/>
        <v>7867466.6999999983</v>
      </c>
    </row>
    <row r="96" spans="1:8" x14ac:dyDescent="0.3">
      <c r="A96">
        <v>90</v>
      </c>
      <c r="B96" s="3">
        <f t="shared" si="8"/>
        <v>7867466.6999999983</v>
      </c>
      <c r="C96" s="3">
        <f t="shared" si="9"/>
        <v>49499.48</v>
      </c>
      <c r="D96" s="3">
        <f t="shared" si="6"/>
        <v>80865.33</v>
      </c>
      <c r="E96" s="3">
        <v>0</v>
      </c>
      <c r="F96" s="3">
        <f t="shared" si="7"/>
        <v>80865.33</v>
      </c>
      <c r="G96" s="3">
        <f t="shared" si="10"/>
        <v>31365.85</v>
      </c>
      <c r="H96" s="3">
        <f t="shared" si="11"/>
        <v>7836100.8499999987</v>
      </c>
    </row>
    <row r="97" spans="1:8" x14ac:dyDescent="0.3">
      <c r="A97">
        <v>91</v>
      </c>
      <c r="B97" s="3">
        <f t="shared" si="8"/>
        <v>7836100.8499999987</v>
      </c>
      <c r="C97" s="3">
        <f t="shared" si="9"/>
        <v>49302.13</v>
      </c>
      <c r="D97" s="3">
        <f t="shared" si="6"/>
        <v>80865.33</v>
      </c>
      <c r="E97" s="3">
        <v>0</v>
      </c>
      <c r="F97" s="3">
        <f t="shared" si="7"/>
        <v>80865.33</v>
      </c>
      <c r="G97" s="3">
        <f t="shared" si="10"/>
        <v>31563.200000000004</v>
      </c>
      <c r="H97" s="3">
        <f t="shared" si="11"/>
        <v>7804537.6499999985</v>
      </c>
    </row>
    <row r="98" spans="1:8" x14ac:dyDescent="0.3">
      <c r="A98">
        <v>92</v>
      </c>
      <c r="B98" s="3">
        <f t="shared" si="8"/>
        <v>7804537.6499999985</v>
      </c>
      <c r="C98" s="3">
        <f t="shared" si="9"/>
        <v>49103.55</v>
      </c>
      <c r="D98" s="3">
        <f t="shared" si="6"/>
        <v>80865.33</v>
      </c>
      <c r="E98" s="3">
        <v>0</v>
      </c>
      <c r="F98" s="3">
        <f t="shared" si="7"/>
        <v>80865.33</v>
      </c>
      <c r="G98" s="3">
        <f t="shared" si="10"/>
        <v>31761.78</v>
      </c>
      <c r="H98" s="3">
        <f t="shared" si="11"/>
        <v>7772775.8699999982</v>
      </c>
    </row>
    <row r="99" spans="1:8" x14ac:dyDescent="0.3">
      <c r="A99">
        <v>93</v>
      </c>
      <c r="B99" s="3">
        <f t="shared" si="8"/>
        <v>7772775.8699999982</v>
      </c>
      <c r="C99" s="3">
        <f t="shared" si="9"/>
        <v>48903.71</v>
      </c>
      <c r="D99" s="3">
        <f t="shared" si="6"/>
        <v>80865.33</v>
      </c>
      <c r="E99" s="3">
        <v>0</v>
      </c>
      <c r="F99" s="3">
        <f t="shared" si="7"/>
        <v>80865.33</v>
      </c>
      <c r="G99" s="3">
        <f t="shared" si="10"/>
        <v>31961.620000000003</v>
      </c>
      <c r="H99" s="3">
        <f t="shared" si="11"/>
        <v>7740814.2499999981</v>
      </c>
    </row>
    <row r="100" spans="1:8" x14ac:dyDescent="0.3">
      <c r="A100">
        <v>94</v>
      </c>
      <c r="B100" s="3">
        <f t="shared" si="8"/>
        <v>7740814.2499999981</v>
      </c>
      <c r="C100" s="3">
        <f t="shared" si="9"/>
        <v>48702.62</v>
      </c>
      <c r="D100" s="3">
        <f t="shared" si="6"/>
        <v>80865.33</v>
      </c>
      <c r="E100" s="3">
        <v>0</v>
      </c>
      <c r="F100" s="3">
        <f t="shared" si="7"/>
        <v>80865.33</v>
      </c>
      <c r="G100" s="3">
        <f t="shared" si="10"/>
        <v>32162.71</v>
      </c>
      <c r="H100" s="3">
        <f t="shared" si="11"/>
        <v>7708651.5399999982</v>
      </c>
    </row>
    <row r="101" spans="1:8" x14ac:dyDescent="0.3">
      <c r="A101">
        <v>95</v>
      </c>
      <c r="B101" s="3">
        <f t="shared" si="8"/>
        <v>7708651.5399999982</v>
      </c>
      <c r="C101" s="3">
        <f t="shared" si="9"/>
        <v>48500.27</v>
      </c>
      <c r="D101" s="3">
        <f t="shared" si="6"/>
        <v>80865.33</v>
      </c>
      <c r="E101" s="3">
        <v>0</v>
      </c>
      <c r="F101" s="3">
        <f t="shared" si="7"/>
        <v>80865.33</v>
      </c>
      <c r="G101" s="3">
        <f t="shared" si="10"/>
        <v>32365.060000000005</v>
      </c>
      <c r="H101" s="3">
        <f t="shared" si="11"/>
        <v>7676286.4799999986</v>
      </c>
    </row>
    <row r="102" spans="1:8" x14ac:dyDescent="0.3">
      <c r="A102">
        <v>96</v>
      </c>
      <c r="B102" s="3">
        <f t="shared" si="8"/>
        <v>7676286.4799999986</v>
      </c>
      <c r="C102" s="3">
        <f t="shared" si="9"/>
        <v>48296.639999999999</v>
      </c>
      <c r="D102" s="3">
        <f t="shared" si="6"/>
        <v>80865.33</v>
      </c>
      <c r="E102" s="3">
        <v>0</v>
      </c>
      <c r="F102" s="3">
        <f t="shared" si="7"/>
        <v>80865.33</v>
      </c>
      <c r="G102" s="3">
        <f t="shared" si="10"/>
        <v>32568.690000000002</v>
      </c>
      <c r="H102" s="3">
        <f t="shared" si="11"/>
        <v>7643717.7899999982</v>
      </c>
    </row>
    <row r="103" spans="1:8" x14ac:dyDescent="0.3">
      <c r="A103">
        <v>97</v>
      </c>
      <c r="B103" s="3">
        <f t="shared" si="8"/>
        <v>7643717.7899999982</v>
      </c>
      <c r="C103" s="3">
        <f t="shared" si="9"/>
        <v>48091.72</v>
      </c>
      <c r="D103" s="3">
        <f t="shared" si="6"/>
        <v>80865.33</v>
      </c>
      <c r="E103" s="3">
        <v>0</v>
      </c>
      <c r="F103" s="3">
        <f t="shared" si="7"/>
        <v>80865.33</v>
      </c>
      <c r="G103" s="3">
        <f t="shared" si="10"/>
        <v>32773.61</v>
      </c>
      <c r="H103" s="3">
        <f t="shared" si="11"/>
        <v>7610944.1799999978</v>
      </c>
    </row>
    <row r="104" spans="1:8" x14ac:dyDescent="0.3">
      <c r="A104">
        <v>98</v>
      </c>
      <c r="B104" s="3">
        <f t="shared" si="8"/>
        <v>7610944.1799999978</v>
      </c>
      <c r="C104" s="3">
        <f t="shared" si="9"/>
        <v>47885.52</v>
      </c>
      <c r="D104" s="3">
        <f t="shared" si="6"/>
        <v>80865.33</v>
      </c>
      <c r="E104" s="3">
        <v>0</v>
      </c>
      <c r="F104" s="3">
        <f t="shared" si="7"/>
        <v>80865.33</v>
      </c>
      <c r="G104" s="3">
        <f t="shared" si="10"/>
        <v>32979.810000000005</v>
      </c>
      <c r="H104" s="3">
        <f t="shared" si="11"/>
        <v>7577964.3699999982</v>
      </c>
    </row>
    <row r="105" spans="1:8" x14ac:dyDescent="0.3">
      <c r="A105">
        <v>99</v>
      </c>
      <c r="B105" s="3">
        <f t="shared" si="8"/>
        <v>7577964.3699999982</v>
      </c>
      <c r="C105" s="3">
        <f t="shared" si="9"/>
        <v>47678.03</v>
      </c>
      <c r="D105" s="3">
        <f t="shared" si="6"/>
        <v>80865.33</v>
      </c>
      <c r="E105" s="3">
        <v>0</v>
      </c>
      <c r="F105" s="3">
        <f t="shared" si="7"/>
        <v>80865.33</v>
      </c>
      <c r="G105" s="3">
        <f t="shared" si="10"/>
        <v>33187.300000000003</v>
      </c>
      <c r="H105" s="3">
        <f t="shared" si="11"/>
        <v>7544777.0699999984</v>
      </c>
    </row>
    <row r="106" spans="1:8" x14ac:dyDescent="0.3">
      <c r="A106">
        <v>100</v>
      </c>
      <c r="B106" s="3">
        <f t="shared" si="8"/>
        <v>7544777.0699999984</v>
      </c>
      <c r="C106" s="3">
        <f t="shared" si="9"/>
        <v>47469.22</v>
      </c>
      <c r="D106" s="3">
        <f t="shared" si="6"/>
        <v>80865.33</v>
      </c>
      <c r="E106" s="3">
        <v>0</v>
      </c>
      <c r="F106" s="3">
        <f t="shared" si="7"/>
        <v>80865.33</v>
      </c>
      <c r="G106" s="3">
        <f t="shared" si="10"/>
        <v>33396.11</v>
      </c>
      <c r="H106" s="3">
        <f t="shared" si="11"/>
        <v>7511380.9599999981</v>
      </c>
    </row>
    <row r="107" spans="1:8" x14ac:dyDescent="0.3">
      <c r="A107">
        <v>101</v>
      </c>
      <c r="B107" s="3">
        <f t="shared" si="8"/>
        <v>7511380.9599999981</v>
      </c>
      <c r="C107" s="3">
        <f t="shared" si="9"/>
        <v>47259.11</v>
      </c>
      <c r="D107" s="3">
        <f t="shared" si="6"/>
        <v>80865.33</v>
      </c>
      <c r="E107" s="3">
        <v>0</v>
      </c>
      <c r="F107" s="3">
        <f t="shared" si="7"/>
        <v>80865.33</v>
      </c>
      <c r="G107" s="3">
        <f t="shared" si="10"/>
        <v>33606.22</v>
      </c>
      <c r="H107" s="3">
        <f t="shared" si="11"/>
        <v>7477774.7399999984</v>
      </c>
    </row>
    <row r="108" spans="1:8" x14ac:dyDescent="0.3">
      <c r="A108">
        <v>102</v>
      </c>
      <c r="B108" s="3">
        <f t="shared" si="8"/>
        <v>7477774.7399999984</v>
      </c>
      <c r="C108" s="3">
        <f t="shared" si="9"/>
        <v>47047.67</v>
      </c>
      <c r="D108" s="3">
        <f t="shared" si="6"/>
        <v>80865.33</v>
      </c>
      <c r="E108" s="3">
        <v>0</v>
      </c>
      <c r="F108" s="3">
        <f t="shared" si="7"/>
        <v>80865.33</v>
      </c>
      <c r="G108" s="3">
        <f t="shared" si="10"/>
        <v>33817.660000000003</v>
      </c>
      <c r="H108" s="3">
        <f t="shared" si="11"/>
        <v>7443957.0799999982</v>
      </c>
    </row>
    <row r="109" spans="1:8" x14ac:dyDescent="0.3">
      <c r="A109">
        <v>103</v>
      </c>
      <c r="B109" s="3">
        <f t="shared" si="8"/>
        <v>7443957.0799999982</v>
      </c>
      <c r="C109" s="3">
        <f t="shared" si="9"/>
        <v>46834.9</v>
      </c>
      <c r="D109" s="3">
        <f t="shared" si="6"/>
        <v>80865.33</v>
      </c>
      <c r="E109" s="3">
        <v>0</v>
      </c>
      <c r="F109" s="3">
        <f t="shared" si="7"/>
        <v>80865.33</v>
      </c>
      <c r="G109" s="3">
        <f t="shared" si="10"/>
        <v>34030.43</v>
      </c>
      <c r="H109" s="3">
        <f t="shared" si="11"/>
        <v>7409926.6499999985</v>
      </c>
    </row>
    <row r="110" spans="1:8" x14ac:dyDescent="0.3">
      <c r="A110">
        <v>104</v>
      </c>
      <c r="B110" s="3">
        <f t="shared" si="8"/>
        <v>7409926.6499999985</v>
      </c>
      <c r="C110" s="3">
        <f t="shared" si="9"/>
        <v>46620.79</v>
      </c>
      <c r="D110" s="3">
        <f t="shared" si="6"/>
        <v>80865.33</v>
      </c>
      <c r="E110" s="3">
        <v>0</v>
      </c>
      <c r="F110" s="3">
        <f t="shared" si="7"/>
        <v>80865.33</v>
      </c>
      <c r="G110" s="3">
        <f t="shared" si="10"/>
        <v>34244.54</v>
      </c>
      <c r="H110" s="3">
        <f t="shared" si="11"/>
        <v>7375682.1099999985</v>
      </c>
    </row>
    <row r="111" spans="1:8" x14ac:dyDescent="0.3">
      <c r="A111">
        <v>105</v>
      </c>
      <c r="B111" s="3">
        <f t="shared" si="8"/>
        <v>7375682.1099999985</v>
      </c>
      <c r="C111" s="3">
        <f t="shared" si="9"/>
        <v>46405.33</v>
      </c>
      <c r="D111" s="3">
        <f t="shared" si="6"/>
        <v>80865.33</v>
      </c>
      <c r="E111" s="3">
        <v>0</v>
      </c>
      <c r="F111" s="3">
        <f t="shared" si="7"/>
        <v>80865.33</v>
      </c>
      <c r="G111" s="3">
        <f t="shared" si="10"/>
        <v>34460</v>
      </c>
      <c r="H111" s="3">
        <f t="shared" si="11"/>
        <v>7341222.1099999985</v>
      </c>
    </row>
    <row r="112" spans="1:8" x14ac:dyDescent="0.3">
      <c r="A112">
        <v>106</v>
      </c>
      <c r="B112" s="3">
        <f t="shared" si="8"/>
        <v>7341222.1099999985</v>
      </c>
      <c r="C112" s="3">
        <f t="shared" si="9"/>
        <v>46188.52</v>
      </c>
      <c r="D112" s="3">
        <f t="shared" si="6"/>
        <v>80865.33</v>
      </c>
      <c r="E112" s="3">
        <v>0</v>
      </c>
      <c r="F112" s="3">
        <f t="shared" si="7"/>
        <v>80865.33</v>
      </c>
      <c r="G112" s="3">
        <f t="shared" si="10"/>
        <v>34676.810000000005</v>
      </c>
      <c r="H112" s="3">
        <f t="shared" si="11"/>
        <v>7306545.2999999989</v>
      </c>
    </row>
    <row r="113" spans="1:8" x14ac:dyDescent="0.3">
      <c r="A113">
        <v>107</v>
      </c>
      <c r="B113" s="3">
        <f t="shared" si="8"/>
        <v>7306545.2999999989</v>
      </c>
      <c r="C113" s="3">
        <f t="shared" si="9"/>
        <v>45970.35</v>
      </c>
      <c r="D113" s="3">
        <f t="shared" si="6"/>
        <v>80865.33</v>
      </c>
      <c r="E113" s="3">
        <v>0</v>
      </c>
      <c r="F113" s="3">
        <f t="shared" si="7"/>
        <v>80865.33</v>
      </c>
      <c r="G113" s="3">
        <f t="shared" si="10"/>
        <v>34894.980000000003</v>
      </c>
      <c r="H113" s="3">
        <f t="shared" si="11"/>
        <v>7271650.3199999984</v>
      </c>
    </row>
    <row r="114" spans="1:8" x14ac:dyDescent="0.3">
      <c r="A114">
        <v>108</v>
      </c>
      <c r="B114" s="3">
        <f t="shared" si="8"/>
        <v>7271650.3199999984</v>
      </c>
      <c r="C114" s="3">
        <f t="shared" si="9"/>
        <v>45750.8</v>
      </c>
      <c r="D114" s="3">
        <f t="shared" si="6"/>
        <v>80865.33</v>
      </c>
      <c r="E114" s="3">
        <v>0</v>
      </c>
      <c r="F114" s="3">
        <f t="shared" si="7"/>
        <v>80865.33</v>
      </c>
      <c r="G114" s="3">
        <f t="shared" si="10"/>
        <v>35114.53</v>
      </c>
      <c r="H114" s="3">
        <f t="shared" si="11"/>
        <v>7236535.7899999982</v>
      </c>
    </row>
    <row r="115" spans="1:8" x14ac:dyDescent="0.3">
      <c r="A115">
        <v>109</v>
      </c>
      <c r="B115" s="3">
        <f t="shared" si="8"/>
        <v>7236535.7899999982</v>
      </c>
      <c r="C115" s="3">
        <f t="shared" si="9"/>
        <v>45529.87</v>
      </c>
      <c r="D115" s="3">
        <f t="shared" si="6"/>
        <v>80865.33</v>
      </c>
      <c r="E115" s="3">
        <v>0</v>
      </c>
      <c r="F115" s="3">
        <f t="shared" si="7"/>
        <v>80865.33</v>
      </c>
      <c r="G115" s="3">
        <f t="shared" si="10"/>
        <v>35335.46</v>
      </c>
      <c r="H115" s="3">
        <f t="shared" si="11"/>
        <v>7201200.3299999982</v>
      </c>
    </row>
    <row r="116" spans="1:8" x14ac:dyDescent="0.3">
      <c r="A116">
        <v>110</v>
      </c>
      <c r="B116" s="3">
        <f t="shared" si="8"/>
        <v>7201200.3299999982</v>
      </c>
      <c r="C116" s="3">
        <f t="shared" si="9"/>
        <v>45307.55</v>
      </c>
      <c r="D116" s="3">
        <f t="shared" si="6"/>
        <v>80865.33</v>
      </c>
      <c r="E116" s="3">
        <v>0</v>
      </c>
      <c r="F116" s="3">
        <f t="shared" si="7"/>
        <v>80865.33</v>
      </c>
      <c r="G116" s="3">
        <f t="shared" si="10"/>
        <v>35557.78</v>
      </c>
      <c r="H116" s="3">
        <f t="shared" si="11"/>
        <v>7165642.549999998</v>
      </c>
    </row>
    <row r="117" spans="1:8" x14ac:dyDescent="0.3">
      <c r="A117">
        <v>111</v>
      </c>
      <c r="B117" s="3">
        <f t="shared" si="8"/>
        <v>7165642.549999998</v>
      </c>
      <c r="C117" s="3">
        <f t="shared" si="9"/>
        <v>45083.83</v>
      </c>
      <c r="D117" s="3">
        <f t="shared" si="6"/>
        <v>80865.33</v>
      </c>
      <c r="E117" s="3">
        <v>0</v>
      </c>
      <c r="F117" s="3">
        <f t="shared" si="7"/>
        <v>80865.33</v>
      </c>
      <c r="G117" s="3">
        <f t="shared" si="10"/>
        <v>35781.5</v>
      </c>
      <c r="H117" s="3">
        <f t="shared" si="11"/>
        <v>7129861.049999998</v>
      </c>
    </row>
    <row r="118" spans="1:8" x14ac:dyDescent="0.3">
      <c r="A118">
        <v>112</v>
      </c>
      <c r="B118" s="3">
        <f t="shared" si="8"/>
        <v>7129861.049999998</v>
      </c>
      <c r="C118" s="3">
        <f t="shared" si="9"/>
        <v>44858.71</v>
      </c>
      <c r="D118" s="3">
        <f t="shared" si="6"/>
        <v>80865.33</v>
      </c>
      <c r="E118" s="3">
        <v>0</v>
      </c>
      <c r="F118" s="3">
        <f t="shared" si="7"/>
        <v>80865.33</v>
      </c>
      <c r="G118" s="3">
        <f t="shared" si="10"/>
        <v>36006.620000000003</v>
      </c>
      <c r="H118" s="3">
        <f t="shared" si="11"/>
        <v>7093854.4299999978</v>
      </c>
    </row>
    <row r="119" spans="1:8" x14ac:dyDescent="0.3">
      <c r="A119">
        <v>113</v>
      </c>
      <c r="B119" s="3">
        <f t="shared" si="8"/>
        <v>7093854.4299999978</v>
      </c>
      <c r="C119" s="3">
        <f t="shared" si="9"/>
        <v>44632.17</v>
      </c>
      <c r="D119" s="3">
        <f t="shared" si="6"/>
        <v>80865.33</v>
      </c>
      <c r="E119" s="3">
        <v>0</v>
      </c>
      <c r="F119" s="3">
        <f t="shared" si="7"/>
        <v>80865.33</v>
      </c>
      <c r="G119" s="3">
        <f t="shared" si="10"/>
        <v>36233.160000000003</v>
      </c>
      <c r="H119" s="3">
        <f t="shared" si="11"/>
        <v>7057621.2699999977</v>
      </c>
    </row>
    <row r="120" spans="1:8" x14ac:dyDescent="0.3">
      <c r="A120">
        <v>114</v>
      </c>
      <c r="B120" s="3">
        <f t="shared" si="8"/>
        <v>7057621.2699999977</v>
      </c>
      <c r="C120" s="3">
        <f t="shared" si="9"/>
        <v>44404.2</v>
      </c>
      <c r="D120" s="3">
        <f t="shared" si="6"/>
        <v>80865.33</v>
      </c>
      <c r="E120" s="3">
        <v>0</v>
      </c>
      <c r="F120" s="3">
        <f t="shared" si="7"/>
        <v>80865.33</v>
      </c>
      <c r="G120" s="3">
        <f t="shared" si="10"/>
        <v>36461.130000000005</v>
      </c>
      <c r="H120" s="3">
        <f t="shared" si="11"/>
        <v>7021160.1399999978</v>
      </c>
    </row>
    <row r="121" spans="1:8" x14ac:dyDescent="0.3">
      <c r="A121">
        <v>115</v>
      </c>
      <c r="B121" s="3">
        <f t="shared" si="8"/>
        <v>7021160.1399999978</v>
      </c>
      <c r="C121" s="3">
        <f t="shared" si="9"/>
        <v>44174.8</v>
      </c>
      <c r="D121" s="3">
        <f t="shared" si="6"/>
        <v>80865.33</v>
      </c>
      <c r="E121" s="3">
        <v>0</v>
      </c>
      <c r="F121" s="3">
        <f t="shared" si="7"/>
        <v>80865.33</v>
      </c>
      <c r="G121" s="3">
        <f t="shared" si="10"/>
        <v>36690.53</v>
      </c>
      <c r="H121" s="3">
        <f t="shared" si="11"/>
        <v>6984469.6099999975</v>
      </c>
    </row>
    <row r="122" spans="1:8" x14ac:dyDescent="0.3">
      <c r="A122">
        <v>116</v>
      </c>
      <c r="B122" s="3">
        <f t="shared" si="8"/>
        <v>6984469.6099999975</v>
      </c>
      <c r="C122" s="3">
        <f t="shared" si="9"/>
        <v>43943.95</v>
      </c>
      <c r="D122" s="3">
        <f t="shared" si="6"/>
        <v>80865.33</v>
      </c>
      <c r="E122" s="3">
        <v>0</v>
      </c>
      <c r="F122" s="3">
        <f t="shared" si="7"/>
        <v>80865.33</v>
      </c>
      <c r="G122" s="3">
        <f t="shared" si="10"/>
        <v>36921.380000000005</v>
      </c>
      <c r="H122" s="3">
        <f t="shared" si="11"/>
        <v>6947548.2299999977</v>
      </c>
    </row>
    <row r="123" spans="1:8" x14ac:dyDescent="0.3">
      <c r="A123">
        <v>117</v>
      </c>
      <c r="B123" s="3">
        <f t="shared" si="8"/>
        <v>6947548.2299999977</v>
      </c>
      <c r="C123" s="3">
        <f t="shared" si="9"/>
        <v>43711.66</v>
      </c>
      <c r="D123" s="3">
        <f t="shared" si="6"/>
        <v>80865.33</v>
      </c>
      <c r="E123" s="3">
        <v>0</v>
      </c>
      <c r="F123" s="3">
        <f t="shared" si="7"/>
        <v>80865.33</v>
      </c>
      <c r="G123" s="3">
        <f t="shared" si="10"/>
        <v>37153.67</v>
      </c>
      <c r="H123" s="3">
        <f t="shared" si="11"/>
        <v>6910394.5599999977</v>
      </c>
    </row>
    <row r="124" spans="1:8" x14ac:dyDescent="0.3">
      <c r="A124">
        <v>118</v>
      </c>
      <c r="B124" s="3">
        <f t="shared" si="8"/>
        <v>6910394.5599999977</v>
      </c>
      <c r="C124" s="3">
        <f t="shared" si="9"/>
        <v>43477.9</v>
      </c>
      <c r="D124" s="3">
        <f t="shared" si="6"/>
        <v>80865.33</v>
      </c>
      <c r="E124" s="3">
        <v>0</v>
      </c>
      <c r="F124" s="3">
        <f t="shared" si="7"/>
        <v>80865.33</v>
      </c>
      <c r="G124" s="3">
        <f t="shared" si="10"/>
        <v>37387.43</v>
      </c>
      <c r="H124" s="3">
        <f t="shared" si="11"/>
        <v>6873007.129999998</v>
      </c>
    </row>
    <row r="125" spans="1:8" x14ac:dyDescent="0.3">
      <c r="A125">
        <v>119</v>
      </c>
      <c r="B125" s="3">
        <f t="shared" si="8"/>
        <v>6873007.129999998</v>
      </c>
      <c r="C125" s="3">
        <f t="shared" si="9"/>
        <v>43242.67</v>
      </c>
      <c r="D125" s="3">
        <f t="shared" si="6"/>
        <v>80865.33</v>
      </c>
      <c r="E125" s="3">
        <v>0</v>
      </c>
      <c r="F125" s="3">
        <f t="shared" si="7"/>
        <v>80865.33</v>
      </c>
      <c r="G125" s="3">
        <f t="shared" si="10"/>
        <v>37622.660000000003</v>
      </c>
      <c r="H125" s="3">
        <f t="shared" si="11"/>
        <v>6835384.4699999979</v>
      </c>
    </row>
    <row r="126" spans="1:8" x14ac:dyDescent="0.3">
      <c r="A126">
        <v>120</v>
      </c>
      <c r="B126" s="3">
        <f t="shared" si="8"/>
        <v>6835384.4699999979</v>
      </c>
      <c r="C126" s="3">
        <f t="shared" si="9"/>
        <v>43005.96</v>
      </c>
      <c r="D126" s="3">
        <f t="shared" si="6"/>
        <v>80865.33</v>
      </c>
      <c r="E126" s="3">
        <v>0</v>
      </c>
      <c r="F126" s="3">
        <f t="shared" si="7"/>
        <v>80865.33</v>
      </c>
      <c r="G126" s="3">
        <f t="shared" si="10"/>
        <v>37859.370000000003</v>
      </c>
      <c r="H126" s="3">
        <f t="shared" si="11"/>
        <v>6797525.0999999978</v>
      </c>
    </row>
    <row r="127" spans="1:8" x14ac:dyDescent="0.3">
      <c r="A127">
        <v>121</v>
      </c>
      <c r="B127" s="3">
        <f t="shared" si="8"/>
        <v>6797525.0999999978</v>
      </c>
      <c r="C127" s="3">
        <f t="shared" si="9"/>
        <v>42767.76</v>
      </c>
      <c r="D127" s="3">
        <f t="shared" si="6"/>
        <v>80865.33</v>
      </c>
      <c r="E127" s="3">
        <v>0</v>
      </c>
      <c r="F127" s="3">
        <f t="shared" si="7"/>
        <v>80865.33</v>
      </c>
      <c r="G127" s="3">
        <f t="shared" si="10"/>
        <v>38097.57</v>
      </c>
      <c r="H127" s="3">
        <f t="shared" si="11"/>
        <v>6759427.5299999975</v>
      </c>
    </row>
    <row r="128" spans="1:8" x14ac:dyDescent="0.3">
      <c r="A128">
        <v>122</v>
      </c>
      <c r="B128" s="3">
        <f t="shared" si="8"/>
        <v>6759427.5299999975</v>
      </c>
      <c r="C128" s="3">
        <f t="shared" si="9"/>
        <v>42528.06</v>
      </c>
      <c r="D128" s="3">
        <f t="shared" si="6"/>
        <v>80865.33</v>
      </c>
      <c r="E128" s="3">
        <v>0</v>
      </c>
      <c r="F128" s="3">
        <f t="shared" si="7"/>
        <v>80865.33</v>
      </c>
      <c r="G128" s="3">
        <f t="shared" si="10"/>
        <v>38337.270000000004</v>
      </c>
      <c r="H128" s="3">
        <f t="shared" si="11"/>
        <v>6721090.2599999979</v>
      </c>
    </row>
    <row r="129" spans="1:8" x14ac:dyDescent="0.3">
      <c r="A129">
        <v>123</v>
      </c>
      <c r="B129" s="3">
        <f t="shared" si="8"/>
        <v>6721090.2599999979</v>
      </c>
      <c r="C129" s="3">
        <f t="shared" si="9"/>
        <v>42286.86</v>
      </c>
      <c r="D129" s="3">
        <f t="shared" si="6"/>
        <v>80865.33</v>
      </c>
      <c r="E129" s="3">
        <v>0</v>
      </c>
      <c r="F129" s="3">
        <f t="shared" si="7"/>
        <v>80865.33</v>
      </c>
      <c r="G129" s="3">
        <f t="shared" si="10"/>
        <v>38578.47</v>
      </c>
      <c r="H129" s="3">
        <f t="shared" si="11"/>
        <v>6682511.7899999982</v>
      </c>
    </row>
    <row r="130" spans="1:8" x14ac:dyDescent="0.3">
      <c r="A130">
        <v>124</v>
      </c>
      <c r="B130" s="3">
        <f t="shared" si="8"/>
        <v>6682511.7899999982</v>
      </c>
      <c r="C130" s="3">
        <f t="shared" si="9"/>
        <v>42044.14</v>
      </c>
      <c r="D130" s="3">
        <f t="shared" si="6"/>
        <v>80865.33</v>
      </c>
      <c r="E130" s="3">
        <v>0</v>
      </c>
      <c r="F130" s="3">
        <f t="shared" si="7"/>
        <v>80865.33</v>
      </c>
      <c r="G130" s="3">
        <f t="shared" si="10"/>
        <v>38821.19</v>
      </c>
      <c r="H130" s="3">
        <f t="shared" si="11"/>
        <v>6643690.5999999978</v>
      </c>
    </row>
    <row r="131" spans="1:8" x14ac:dyDescent="0.3">
      <c r="A131">
        <v>125</v>
      </c>
      <c r="B131" s="3">
        <f t="shared" si="8"/>
        <v>6643690.5999999978</v>
      </c>
      <c r="C131" s="3">
        <f t="shared" si="9"/>
        <v>41799.89</v>
      </c>
      <c r="D131" s="3">
        <f t="shared" si="6"/>
        <v>80865.33</v>
      </c>
      <c r="E131" s="3">
        <v>0</v>
      </c>
      <c r="F131" s="3">
        <f t="shared" si="7"/>
        <v>80865.33</v>
      </c>
      <c r="G131" s="3">
        <f t="shared" si="10"/>
        <v>39065.440000000002</v>
      </c>
      <c r="H131" s="3">
        <f t="shared" si="11"/>
        <v>6604625.1599999974</v>
      </c>
    </row>
    <row r="132" spans="1:8" x14ac:dyDescent="0.3">
      <c r="A132">
        <v>126</v>
      </c>
      <c r="B132" s="3">
        <f t="shared" si="8"/>
        <v>6604625.1599999974</v>
      </c>
      <c r="C132" s="3">
        <f t="shared" si="9"/>
        <v>41554.1</v>
      </c>
      <c r="D132" s="3">
        <f t="shared" si="6"/>
        <v>80865.33</v>
      </c>
      <c r="E132" s="3">
        <v>0</v>
      </c>
      <c r="F132" s="3">
        <f t="shared" si="7"/>
        <v>80865.33</v>
      </c>
      <c r="G132" s="3">
        <f t="shared" si="10"/>
        <v>39311.230000000003</v>
      </c>
      <c r="H132" s="3">
        <f t="shared" si="11"/>
        <v>6565313.9299999969</v>
      </c>
    </row>
    <row r="133" spans="1:8" x14ac:dyDescent="0.3">
      <c r="A133">
        <v>127</v>
      </c>
      <c r="B133" s="3">
        <f t="shared" si="8"/>
        <v>6565313.9299999969</v>
      </c>
      <c r="C133" s="3">
        <f t="shared" si="9"/>
        <v>41306.769999999997</v>
      </c>
      <c r="D133" s="3">
        <f t="shared" si="6"/>
        <v>80865.33</v>
      </c>
      <c r="E133" s="3">
        <v>0</v>
      </c>
      <c r="F133" s="3">
        <f t="shared" si="7"/>
        <v>80865.33</v>
      </c>
      <c r="G133" s="3">
        <f t="shared" si="10"/>
        <v>39558.560000000005</v>
      </c>
      <c r="H133" s="3">
        <f t="shared" si="11"/>
        <v>6525755.3699999973</v>
      </c>
    </row>
    <row r="134" spans="1:8" x14ac:dyDescent="0.3">
      <c r="A134">
        <v>128</v>
      </c>
      <c r="B134" s="3">
        <f t="shared" si="8"/>
        <v>6525755.3699999973</v>
      </c>
      <c r="C134" s="3">
        <f t="shared" si="9"/>
        <v>41057.879999999997</v>
      </c>
      <c r="D134" s="3">
        <f t="shared" si="6"/>
        <v>80865.33</v>
      </c>
      <c r="E134" s="3">
        <v>0</v>
      </c>
      <c r="F134" s="3">
        <f t="shared" si="7"/>
        <v>80865.33</v>
      </c>
      <c r="G134" s="3">
        <f t="shared" si="10"/>
        <v>39807.450000000004</v>
      </c>
      <c r="H134" s="3">
        <f t="shared" si="11"/>
        <v>6485947.9199999971</v>
      </c>
    </row>
    <row r="135" spans="1:8" x14ac:dyDescent="0.3">
      <c r="A135">
        <v>129</v>
      </c>
      <c r="B135" s="3">
        <f t="shared" si="8"/>
        <v>6485947.9199999971</v>
      </c>
      <c r="C135" s="3">
        <f t="shared" si="9"/>
        <v>40807.42</v>
      </c>
      <c r="D135" s="3">
        <f t="shared" ref="D135:D198" si="12">$E$1</f>
        <v>80865.33</v>
      </c>
      <c r="E135" s="3">
        <v>0</v>
      </c>
      <c r="F135" s="3">
        <f t="shared" ref="F135:F198" si="13">D135+E135</f>
        <v>80865.33</v>
      </c>
      <c r="G135" s="3">
        <f t="shared" si="10"/>
        <v>40057.910000000003</v>
      </c>
      <c r="H135" s="3">
        <f t="shared" si="11"/>
        <v>6445890.009999997</v>
      </c>
    </row>
    <row r="136" spans="1:8" x14ac:dyDescent="0.3">
      <c r="A136">
        <v>130</v>
      </c>
      <c r="B136" s="3">
        <f t="shared" ref="B136:B199" si="14">H135</f>
        <v>6445890.009999997</v>
      </c>
      <c r="C136" s="3">
        <f t="shared" ref="C136:C199" si="15">ROUND(B136*($B$2/12/100), 2)</f>
        <v>40555.39</v>
      </c>
      <c r="D136" s="3">
        <f t="shared" si="12"/>
        <v>80865.33</v>
      </c>
      <c r="E136" s="3">
        <v>0</v>
      </c>
      <c r="F136" s="3">
        <f t="shared" si="13"/>
        <v>80865.33</v>
      </c>
      <c r="G136" s="3">
        <f t="shared" ref="G136:G199" si="16">MIN(B136, F136-C136)</f>
        <v>40309.94</v>
      </c>
      <c r="H136" s="3">
        <f t="shared" ref="H136:H199" si="17">MAX(0, B136-G136)</f>
        <v>6405580.0699999966</v>
      </c>
    </row>
    <row r="137" spans="1:8" x14ac:dyDescent="0.3">
      <c r="A137">
        <v>131</v>
      </c>
      <c r="B137" s="3">
        <f t="shared" si="14"/>
        <v>6405580.0699999966</v>
      </c>
      <c r="C137" s="3">
        <f t="shared" si="15"/>
        <v>40301.769999999997</v>
      </c>
      <c r="D137" s="3">
        <f t="shared" si="12"/>
        <v>80865.33</v>
      </c>
      <c r="E137" s="3">
        <v>0</v>
      </c>
      <c r="F137" s="3">
        <f t="shared" si="13"/>
        <v>80865.33</v>
      </c>
      <c r="G137" s="3">
        <f t="shared" si="16"/>
        <v>40563.560000000005</v>
      </c>
      <c r="H137" s="3">
        <f t="shared" si="17"/>
        <v>6365016.509999997</v>
      </c>
    </row>
    <row r="138" spans="1:8" x14ac:dyDescent="0.3">
      <c r="A138">
        <v>132</v>
      </c>
      <c r="B138" s="3">
        <f t="shared" si="14"/>
        <v>6365016.509999997</v>
      </c>
      <c r="C138" s="3">
        <f t="shared" si="15"/>
        <v>40046.559999999998</v>
      </c>
      <c r="D138" s="3">
        <f t="shared" si="12"/>
        <v>80865.33</v>
      </c>
      <c r="E138" s="3">
        <v>0</v>
      </c>
      <c r="F138" s="3">
        <f t="shared" si="13"/>
        <v>80865.33</v>
      </c>
      <c r="G138" s="3">
        <f t="shared" si="16"/>
        <v>40818.770000000004</v>
      </c>
      <c r="H138" s="3">
        <f t="shared" si="17"/>
        <v>6324197.7399999974</v>
      </c>
    </row>
    <row r="139" spans="1:8" x14ac:dyDescent="0.3">
      <c r="A139">
        <v>133</v>
      </c>
      <c r="B139" s="3">
        <f t="shared" si="14"/>
        <v>6324197.7399999974</v>
      </c>
      <c r="C139" s="3">
        <f t="shared" si="15"/>
        <v>39789.74</v>
      </c>
      <c r="D139" s="3">
        <f t="shared" si="12"/>
        <v>80865.33</v>
      </c>
      <c r="E139" s="3">
        <v>0</v>
      </c>
      <c r="F139" s="3">
        <f t="shared" si="13"/>
        <v>80865.33</v>
      </c>
      <c r="G139" s="3">
        <f t="shared" si="16"/>
        <v>41075.590000000004</v>
      </c>
      <c r="H139" s="3">
        <f t="shared" si="17"/>
        <v>6283122.1499999976</v>
      </c>
    </row>
    <row r="140" spans="1:8" x14ac:dyDescent="0.3">
      <c r="A140">
        <v>134</v>
      </c>
      <c r="B140" s="3">
        <f t="shared" si="14"/>
        <v>6283122.1499999976</v>
      </c>
      <c r="C140" s="3">
        <f t="shared" si="15"/>
        <v>39531.31</v>
      </c>
      <c r="D140" s="3">
        <f t="shared" si="12"/>
        <v>80865.33</v>
      </c>
      <c r="E140" s="3">
        <v>0</v>
      </c>
      <c r="F140" s="3">
        <f t="shared" si="13"/>
        <v>80865.33</v>
      </c>
      <c r="G140" s="3">
        <f t="shared" si="16"/>
        <v>41334.020000000004</v>
      </c>
      <c r="H140" s="3">
        <f t="shared" si="17"/>
        <v>6241788.129999998</v>
      </c>
    </row>
    <row r="141" spans="1:8" x14ac:dyDescent="0.3">
      <c r="A141">
        <v>135</v>
      </c>
      <c r="B141" s="3">
        <f t="shared" si="14"/>
        <v>6241788.129999998</v>
      </c>
      <c r="C141" s="3">
        <f t="shared" si="15"/>
        <v>39271.25</v>
      </c>
      <c r="D141" s="3">
        <f t="shared" si="12"/>
        <v>80865.33</v>
      </c>
      <c r="E141" s="3">
        <v>0</v>
      </c>
      <c r="F141" s="3">
        <f t="shared" si="13"/>
        <v>80865.33</v>
      </c>
      <c r="G141" s="3">
        <f t="shared" si="16"/>
        <v>41594.080000000002</v>
      </c>
      <c r="H141" s="3">
        <f t="shared" si="17"/>
        <v>6200194.049999998</v>
      </c>
    </row>
    <row r="142" spans="1:8" x14ac:dyDescent="0.3">
      <c r="A142">
        <v>136</v>
      </c>
      <c r="B142" s="3">
        <f t="shared" si="14"/>
        <v>6200194.049999998</v>
      </c>
      <c r="C142" s="3">
        <f t="shared" si="15"/>
        <v>39009.550000000003</v>
      </c>
      <c r="D142" s="3">
        <f t="shared" si="12"/>
        <v>80865.33</v>
      </c>
      <c r="E142" s="3">
        <v>0</v>
      </c>
      <c r="F142" s="3">
        <f t="shared" si="13"/>
        <v>80865.33</v>
      </c>
      <c r="G142" s="3">
        <f t="shared" si="16"/>
        <v>41855.78</v>
      </c>
      <c r="H142" s="3">
        <f t="shared" si="17"/>
        <v>6158338.2699999977</v>
      </c>
    </row>
    <row r="143" spans="1:8" x14ac:dyDescent="0.3">
      <c r="A143">
        <v>137</v>
      </c>
      <c r="B143" s="3">
        <f t="shared" si="14"/>
        <v>6158338.2699999977</v>
      </c>
      <c r="C143" s="3">
        <f t="shared" si="15"/>
        <v>38746.21</v>
      </c>
      <c r="D143" s="3">
        <f t="shared" si="12"/>
        <v>80865.33</v>
      </c>
      <c r="E143" s="3">
        <v>0</v>
      </c>
      <c r="F143" s="3">
        <f t="shared" si="13"/>
        <v>80865.33</v>
      </c>
      <c r="G143" s="3">
        <f t="shared" si="16"/>
        <v>42119.12</v>
      </c>
      <c r="H143" s="3">
        <f t="shared" si="17"/>
        <v>6116219.1499999976</v>
      </c>
    </row>
    <row r="144" spans="1:8" x14ac:dyDescent="0.3">
      <c r="A144">
        <v>138</v>
      </c>
      <c r="B144" s="3">
        <f t="shared" si="14"/>
        <v>6116219.1499999976</v>
      </c>
      <c r="C144" s="3">
        <f t="shared" si="15"/>
        <v>38481.21</v>
      </c>
      <c r="D144" s="3">
        <f t="shared" si="12"/>
        <v>80865.33</v>
      </c>
      <c r="E144" s="3">
        <v>0</v>
      </c>
      <c r="F144" s="3">
        <f t="shared" si="13"/>
        <v>80865.33</v>
      </c>
      <c r="G144" s="3">
        <f t="shared" si="16"/>
        <v>42384.12</v>
      </c>
      <c r="H144" s="3">
        <f t="shared" si="17"/>
        <v>6073835.0299999975</v>
      </c>
    </row>
    <row r="145" spans="1:8" x14ac:dyDescent="0.3">
      <c r="A145">
        <v>139</v>
      </c>
      <c r="B145" s="3">
        <f t="shared" si="14"/>
        <v>6073835.0299999975</v>
      </c>
      <c r="C145" s="3">
        <f t="shared" si="15"/>
        <v>38214.550000000003</v>
      </c>
      <c r="D145" s="3">
        <f t="shared" si="12"/>
        <v>80865.33</v>
      </c>
      <c r="E145" s="3">
        <v>0</v>
      </c>
      <c r="F145" s="3">
        <f t="shared" si="13"/>
        <v>80865.33</v>
      </c>
      <c r="G145" s="3">
        <f t="shared" si="16"/>
        <v>42650.78</v>
      </c>
      <c r="H145" s="3">
        <f t="shared" si="17"/>
        <v>6031184.2499999972</v>
      </c>
    </row>
    <row r="146" spans="1:8" x14ac:dyDescent="0.3">
      <c r="A146">
        <v>140</v>
      </c>
      <c r="B146" s="3">
        <f t="shared" si="14"/>
        <v>6031184.2499999972</v>
      </c>
      <c r="C146" s="3">
        <f t="shared" si="15"/>
        <v>37946.199999999997</v>
      </c>
      <c r="D146" s="3">
        <f t="shared" si="12"/>
        <v>80865.33</v>
      </c>
      <c r="E146" s="3">
        <v>0</v>
      </c>
      <c r="F146" s="3">
        <f t="shared" si="13"/>
        <v>80865.33</v>
      </c>
      <c r="G146" s="3">
        <f t="shared" si="16"/>
        <v>42919.130000000005</v>
      </c>
      <c r="H146" s="3">
        <f t="shared" si="17"/>
        <v>5988265.1199999973</v>
      </c>
    </row>
    <row r="147" spans="1:8" x14ac:dyDescent="0.3">
      <c r="A147">
        <v>141</v>
      </c>
      <c r="B147" s="3">
        <f t="shared" si="14"/>
        <v>5988265.1199999973</v>
      </c>
      <c r="C147" s="3">
        <f t="shared" si="15"/>
        <v>37676.17</v>
      </c>
      <c r="D147" s="3">
        <f t="shared" si="12"/>
        <v>80865.33</v>
      </c>
      <c r="E147" s="3">
        <v>0</v>
      </c>
      <c r="F147" s="3">
        <f t="shared" si="13"/>
        <v>80865.33</v>
      </c>
      <c r="G147" s="3">
        <f t="shared" si="16"/>
        <v>43189.16</v>
      </c>
      <c r="H147" s="3">
        <f t="shared" si="17"/>
        <v>5945075.9599999972</v>
      </c>
    </row>
    <row r="148" spans="1:8" x14ac:dyDescent="0.3">
      <c r="A148">
        <v>142</v>
      </c>
      <c r="B148" s="3">
        <f t="shared" si="14"/>
        <v>5945075.9599999972</v>
      </c>
      <c r="C148" s="3">
        <f t="shared" si="15"/>
        <v>37404.44</v>
      </c>
      <c r="D148" s="3">
        <f t="shared" si="12"/>
        <v>80865.33</v>
      </c>
      <c r="E148" s="3">
        <v>0</v>
      </c>
      <c r="F148" s="3">
        <f t="shared" si="13"/>
        <v>80865.33</v>
      </c>
      <c r="G148" s="3">
        <f t="shared" si="16"/>
        <v>43460.89</v>
      </c>
      <c r="H148" s="3">
        <f t="shared" si="17"/>
        <v>5901615.0699999975</v>
      </c>
    </row>
    <row r="149" spans="1:8" x14ac:dyDescent="0.3">
      <c r="A149">
        <v>143</v>
      </c>
      <c r="B149" s="3">
        <f t="shared" si="14"/>
        <v>5901615.0699999975</v>
      </c>
      <c r="C149" s="3">
        <f t="shared" si="15"/>
        <v>37130.99</v>
      </c>
      <c r="D149" s="3">
        <f t="shared" si="12"/>
        <v>80865.33</v>
      </c>
      <c r="E149" s="3">
        <v>0</v>
      </c>
      <c r="F149" s="3">
        <f t="shared" si="13"/>
        <v>80865.33</v>
      </c>
      <c r="G149" s="3">
        <f t="shared" si="16"/>
        <v>43734.340000000004</v>
      </c>
      <c r="H149" s="3">
        <f t="shared" si="17"/>
        <v>5857880.7299999977</v>
      </c>
    </row>
    <row r="150" spans="1:8" x14ac:dyDescent="0.3">
      <c r="A150">
        <v>144</v>
      </c>
      <c r="B150" s="3">
        <f t="shared" si="14"/>
        <v>5857880.7299999977</v>
      </c>
      <c r="C150" s="3">
        <f t="shared" si="15"/>
        <v>36855.83</v>
      </c>
      <c r="D150" s="3">
        <f t="shared" si="12"/>
        <v>80865.33</v>
      </c>
      <c r="E150" s="3">
        <v>0</v>
      </c>
      <c r="F150" s="3">
        <f t="shared" si="13"/>
        <v>80865.33</v>
      </c>
      <c r="G150" s="3">
        <f t="shared" si="16"/>
        <v>44009.5</v>
      </c>
      <c r="H150" s="3">
        <f t="shared" si="17"/>
        <v>5813871.2299999977</v>
      </c>
    </row>
    <row r="151" spans="1:8" x14ac:dyDescent="0.3">
      <c r="A151">
        <v>145</v>
      </c>
      <c r="B151" s="3">
        <f t="shared" si="14"/>
        <v>5813871.2299999977</v>
      </c>
      <c r="C151" s="3">
        <f t="shared" si="15"/>
        <v>36578.94</v>
      </c>
      <c r="D151" s="3">
        <f t="shared" si="12"/>
        <v>80865.33</v>
      </c>
      <c r="E151" s="3">
        <v>0</v>
      </c>
      <c r="F151" s="3">
        <f t="shared" si="13"/>
        <v>80865.33</v>
      </c>
      <c r="G151" s="3">
        <f t="shared" si="16"/>
        <v>44286.39</v>
      </c>
      <c r="H151" s="3">
        <f t="shared" si="17"/>
        <v>5769584.839999998</v>
      </c>
    </row>
    <row r="152" spans="1:8" x14ac:dyDescent="0.3">
      <c r="A152">
        <v>146</v>
      </c>
      <c r="B152" s="3">
        <f t="shared" si="14"/>
        <v>5769584.839999998</v>
      </c>
      <c r="C152" s="3">
        <f t="shared" si="15"/>
        <v>36300.300000000003</v>
      </c>
      <c r="D152" s="3">
        <f t="shared" si="12"/>
        <v>80865.33</v>
      </c>
      <c r="E152" s="3">
        <v>0</v>
      </c>
      <c r="F152" s="3">
        <f t="shared" si="13"/>
        <v>80865.33</v>
      </c>
      <c r="G152" s="3">
        <f t="shared" si="16"/>
        <v>44565.03</v>
      </c>
      <c r="H152" s="3">
        <f t="shared" si="17"/>
        <v>5725019.8099999977</v>
      </c>
    </row>
    <row r="153" spans="1:8" x14ac:dyDescent="0.3">
      <c r="A153">
        <v>147</v>
      </c>
      <c r="B153" s="3">
        <f t="shared" si="14"/>
        <v>5725019.8099999977</v>
      </c>
      <c r="C153" s="3">
        <f t="shared" si="15"/>
        <v>36019.919999999998</v>
      </c>
      <c r="D153" s="3">
        <f t="shared" si="12"/>
        <v>80865.33</v>
      </c>
      <c r="E153" s="3">
        <v>0</v>
      </c>
      <c r="F153" s="3">
        <f t="shared" si="13"/>
        <v>80865.33</v>
      </c>
      <c r="G153" s="3">
        <f t="shared" si="16"/>
        <v>44845.41</v>
      </c>
      <c r="H153" s="3">
        <f t="shared" si="17"/>
        <v>5680174.3999999976</v>
      </c>
    </row>
    <row r="154" spans="1:8" x14ac:dyDescent="0.3">
      <c r="A154">
        <v>148</v>
      </c>
      <c r="B154" s="3">
        <f t="shared" si="14"/>
        <v>5680174.3999999976</v>
      </c>
      <c r="C154" s="3">
        <f t="shared" si="15"/>
        <v>35737.760000000002</v>
      </c>
      <c r="D154" s="3">
        <f t="shared" si="12"/>
        <v>80865.33</v>
      </c>
      <c r="E154" s="3">
        <v>0</v>
      </c>
      <c r="F154" s="3">
        <f t="shared" si="13"/>
        <v>80865.33</v>
      </c>
      <c r="G154" s="3">
        <f t="shared" si="16"/>
        <v>45127.57</v>
      </c>
      <c r="H154" s="3">
        <f t="shared" si="17"/>
        <v>5635046.8299999973</v>
      </c>
    </row>
    <row r="155" spans="1:8" x14ac:dyDescent="0.3">
      <c r="A155">
        <v>149</v>
      </c>
      <c r="B155" s="3">
        <f t="shared" si="14"/>
        <v>5635046.8299999973</v>
      </c>
      <c r="C155" s="3">
        <f t="shared" si="15"/>
        <v>35453.839999999997</v>
      </c>
      <c r="D155" s="3">
        <f t="shared" si="12"/>
        <v>80865.33</v>
      </c>
      <c r="E155" s="3">
        <v>0</v>
      </c>
      <c r="F155" s="3">
        <f t="shared" si="13"/>
        <v>80865.33</v>
      </c>
      <c r="G155" s="3">
        <f t="shared" si="16"/>
        <v>45411.490000000005</v>
      </c>
      <c r="H155" s="3">
        <f t="shared" si="17"/>
        <v>5589635.3399999971</v>
      </c>
    </row>
    <row r="156" spans="1:8" x14ac:dyDescent="0.3">
      <c r="A156">
        <v>150</v>
      </c>
      <c r="B156" s="3">
        <f t="shared" si="14"/>
        <v>5589635.3399999971</v>
      </c>
      <c r="C156" s="3">
        <f t="shared" si="15"/>
        <v>35168.120000000003</v>
      </c>
      <c r="D156" s="3">
        <f t="shared" si="12"/>
        <v>80865.33</v>
      </c>
      <c r="E156" s="3">
        <v>0</v>
      </c>
      <c r="F156" s="3">
        <f t="shared" si="13"/>
        <v>80865.33</v>
      </c>
      <c r="G156" s="3">
        <f t="shared" si="16"/>
        <v>45697.21</v>
      </c>
      <c r="H156" s="3">
        <f t="shared" si="17"/>
        <v>5543938.1299999971</v>
      </c>
    </row>
    <row r="157" spans="1:8" x14ac:dyDescent="0.3">
      <c r="A157">
        <v>151</v>
      </c>
      <c r="B157" s="3">
        <f t="shared" si="14"/>
        <v>5543938.1299999971</v>
      </c>
      <c r="C157" s="3">
        <f t="shared" si="15"/>
        <v>34880.61</v>
      </c>
      <c r="D157" s="3">
        <f t="shared" si="12"/>
        <v>80865.33</v>
      </c>
      <c r="E157" s="3">
        <v>0</v>
      </c>
      <c r="F157" s="3">
        <f t="shared" si="13"/>
        <v>80865.33</v>
      </c>
      <c r="G157" s="3">
        <f t="shared" si="16"/>
        <v>45984.72</v>
      </c>
      <c r="H157" s="3">
        <f t="shared" si="17"/>
        <v>5497953.4099999974</v>
      </c>
    </row>
    <row r="158" spans="1:8" x14ac:dyDescent="0.3">
      <c r="A158">
        <v>152</v>
      </c>
      <c r="B158" s="3">
        <f t="shared" si="14"/>
        <v>5497953.4099999974</v>
      </c>
      <c r="C158" s="3">
        <f t="shared" si="15"/>
        <v>34591.29</v>
      </c>
      <c r="D158" s="3">
        <f t="shared" si="12"/>
        <v>80865.33</v>
      </c>
      <c r="E158" s="3">
        <v>0</v>
      </c>
      <c r="F158" s="3">
        <f t="shared" si="13"/>
        <v>80865.33</v>
      </c>
      <c r="G158" s="3">
        <f t="shared" si="16"/>
        <v>46274.04</v>
      </c>
      <c r="H158" s="3">
        <f t="shared" si="17"/>
        <v>5451679.3699999973</v>
      </c>
    </row>
    <row r="159" spans="1:8" x14ac:dyDescent="0.3">
      <c r="A159">
        <v>153</v>
      </c>
      <c r="B159" s="3">
        <f t="shared" si="14"/>
        <v>5451679.3699999973</v>
      </c>
      <c r="C159" s="3">
        <f t="shared" si="15"/>
        <v>34300.15</v>
      </c>
      <c r="D159" s="3">
        <f t="shared" si="12"/>
        <v>80865.33</v>
      </c>
      <c r="E159" s="3">
        <v>0</v>
      </c>
      <c r="F159" s="3">
        <f t="shared" si="13"/>
        <v>80865.33</v>
      </c>
      <c r="G159" s="3">
        <f t="shared" si="16"/>
        <v>46565.18</v>
      </c>
      <c r="H159" s="3">
        <f t="shared" si="17"/>
        <v>5405114.1899999976</v>
      </c>
    </row>
    <row r="160" spans="1:8" x14ac:dyDescent="0.3">
      <c r="A160">
        <v>154</v>
      </c>
      <c r="B160" s="3">
        <f t="shared" si="14"/>
        <v>5405114.1899999976</v>
      </c>
      <c r="C160" s="3">
        <f t="shared" si="15"/>
        <v>34007.18</v>
      </c>
      <c r="D160" s="3">
        <f t="shared" si="12"/>
        <v>80865.33</v>
      </c>
      <c r="E160" s="3">
        <v>0</v>
      </c>
      <c r="F160" s="3">
        <f t="shared" si="13"/>
        <v>80865.33</v>
      </c>
      <c r="G160" s="3">
        <f t="shared" si="16"/>
        <v>46858.15</v>
      </c>
      <c r="H160" s="3">
        <f t="shared" si="17"/>
        <v>5358256.0399999972</v>
      </c>
    </row>
    <row r="161" spans="1:8" x14ac:dyDescent="0.3">
      <c r="A161">
        <v>155</v>
      </c>
      <c r="B161" s="3">
        <f t="shared" si="14"/>
        <v>5358256.0399999972</v>
      </c>
      <c r="C161" s="3">
        <f t="shared" si="15"/>
        <v>33712.36</v>
      </c>
      <c r="D161" s="3">
        <f t="shared" si="12"/>
        <v>80865.33</v>
      </c>
      <c r="E161" s="3">
        <v>0</v>
      </c>
      <c r="F161" s="3">
        <f t="shared" si="13"/>
        <v>80865.33</v>
      </c>
      <c r="G161" s="3">
        <f t="shared" si="16"/>
        <v>47152.97</v>
      </c>
      <c r="H161" s="3">
        <f t="shared" si="17"/>
        <v>5311103.0699999975</v>
      </c>
    </row>
    <row r="162" spans="1:8" x14ac:dyDescent="0.3">
      <c r="A162">
        <v>156</v>
      </c>
      <c r="B162" s="3">
        <f t="shared" si="14"/>
        <v>5311103.0699999975</v>
      </c>
      <c r="C162" s="3">
        <f t="shared" si="15"/>
        <v>33415.69</v>
      </c>
      <c r="D162" s="3">
        <f t="shared" si="12"/>
        <v>80865.33</v>
      </c>
      <c r="E162" s="3">
        <v>0</v>
      </c>
      <c r="F162" s="3">
        <f t="shared" si="13"/>
        <v>80865.33</v>
      </c>
      <c r="G162" s="3">
        <f t="shared" si="16"/>
        <v>47449.64</v>
      </c>
      <c r="H162" s="3">
        <f t="shared" si="17"/>
        <v>5263653.4299999978</v>
      </c>
    </row>
    <row r="163" spans="1:8" x14ac:dyDescent="0.3">
      <c r="A163">
        <v>157</v>
      </c>
      <c r="B163" s="3">
        <f t="shared" si="14"/>
        <v>5263653.4299999978</v>
      </c>
      <c r="C163" s="3">
        <f t="shared" si="15"/>
        <v>33117.15</v>
      </c>
      <c r="D163" s="3">
        <f t="shared" si="12"/>
        <v>80865.33</v>
      </c>
      <c r="E163" s="3">
        <v>0</v>
      </c>
      <c r="F163" s="3">
        <f t="shared" si="13"/>
        <v>80865.33</v>
      </c>
      <c r="G163" s="3">
        <f t="shared" si="16"/>
        <v>47748.18</v>
      </c>
      <c r="H163" s="3">
        <f t="shared" si="17"/>
        <v>5215905.2499999981</v>
      </c>
    </row>
    <row r="164" spans="1:8" x14ac:dyDescent="0.3">
      <c r="A164">
        <v>158</v>
      </c>
      <c r="B164" s="3">
        <f t="shared" si="14"/>
        <v>5215905.2499999981</v>
      </c>
      <c r="C164" s="3">
        <f t="shared" si="15"/>
        <v>32816.74</v>
      </c>
      <c r="D164" s="3">
        <f t="shared" si="12"/>
        <v>80865.33</v>
      </c>
      <c r="E164" s="3">
        <v>0</v>
      </c>
      <c r="F164" s="3">
        <f t="shared" si="13"/>
        <v>80865.33</v>
      </c>
      <c r="G164" s="3">
        <f t="shared" si="16"/>
        <v>48048.590000000004</v>
      </c>
      <c r="H164" s="3">
        <f t="shared" si="17"/>
        <v>5167856.6599999983</v>
      </c>
    </row>
    <row r="165" spans="1:8" x14ac:dyDescent="0.3">
      <c r="A165">
        <v>159</v>
      </c>
      <c r="B165" s="3">
        <f t="shared" si="14"/>
        <v>5167856.6599999983</v>
      </c>
      <c r="C165" s="3">
        <f t="shared" si="15"/>
        <v>32514.43</v>
      </c>
      <c r="D165" s="3">
        <f t="shared" si="12"/>
        <v>80865.33</v>
      </c>
      <c r="E165" s="3">
        <v>0</v>
      </c>
      <c r="F165" s="3">
        <f t="shared" si="13"/>
        <v>80865.33</v>
      </c>
      <c r="G165" s="3">
        <f t="shared" si="16"/>
        <v>48350.9</v>
      </c>
      <c r="H165" s="3">
        <f t="shared" si="17"/>
        <v>5119505.7599999979</v>
      </c>
    </row>
    <row r="166" spans="1:8" x14ac:dyDescent="0.3">
      <c r="A166">
        <v>160</v>
      </c>
      <c r="B166" s="3">
        <f t="shared" si="14"/>
        <v>5119505.7599999979</v>
      </c>
      <c r="C166" s="3">
        <f t="shared" si="15"/>
        <v>32210.22</v>
      </c>
      <c r="D166" s="3">
        <f t="shared" si="12"/>
        <v>80865.33</v>
      </c>
      <c r="E166" s="3">
        <v>0</v>
      </c>
      <c r="F166" s="3">
        <f t="shared" si="13"/>
        <v>80865.33</v>
      </c>
      <c r="G166" s="3">
        <f t="shared" si="16"/>
        <v>48655.11</v>
      </c>
      <c r="H166" s="3">
        <f t="shared" si="17"/>
        <v>5070850.6499999976</v>
      </c>
    </row>
    <row r="167" spans="1:8" x14ac:dyDescent="0.3">
      <c r="A167">
        <v>161</v>
      </c>
      <c r="B167" s="3">
        <f t="shared" si="14"/>
        <v>5070850.6499999976</v>
      </c>
      <c r="C167" s="3">
        <f t="shared" si="15"/>
        <v>31904.1</v>
      </c>
      <c r="D167" s="3">
        <f t="shared" si="12"/>
        <v>80865.33</v>
      </c>
      <c r="E167" s="3">
        <v>0</v>
      </c>
      <c r="F167" s="3">
        <f t="shared" si="13"/>
        <v>80865.33</v>
      </c>
      <c r="G167" s="3">
        <f t="shared" si="16"/>
        <v>48961.23</v>
      </c>
      <c r="H167" s="3">
        <f t="shared" si="17"/>
        <v>5021889.4199999971</v>
      </c>
    </row>
    <row r="168" spans="1:8" x14ac:dyDescent="0.3">
      <c r="A168">
        <v>162</v>
      </c>
      <c r="B168" s="3">
        <f t="shared" si="14"/>
        <v>5021889.4199999971</v>
      </c>
      <c r="C168" s="3">
        <f t="shared" si="15"/>
        <v>31596.05</v>
      </c>
      <c r="D168" s="3">
        <f t="shared" si="12"/>
        <v>80865.33</v>
      </c>
      <c r="E168" s="3">
        <v>0</v>
      </c>
      <c r="F168" s="3">
        <f t="shared" si="13"/>
        <v>80865.33</v>
      </c>
      <c r="G168" s="3">
        <f t="shared" si="16"/>
        <v>49269.279999999999</v>
      </c>
      <c r="H168" s="3">
        <f t="shared" si="17"/>
        <v>4972620.1399999969</v>
      </c>
    </row>
    <row r="169" spans="1:8" x14ac:dyDescent="0.3">
      <c r="A169">
        <v>163</v>
      </c>
      <c r="B169" s="3">
        <f t="shared" si="14"/>
        <v>4972620.1399999969</v>
      </c>
      <c r="C169" s="3">
        <f t="shared" si="15"/>
        <v>31286.07</v>
      </c>
      <c r="D169" s="3">
        <f t="shared" si="12"/>
        <v>80865.33</v>
      </c>
      <c r="E169" s="3">
        <v>0</v>
      </c>
      <c r="F169" s="3">
        <f t="shared" si="13"/>
        <v>80865.33</v>
      </c>
      <c r="G169" s="3">
        <f t="shared" si="16"/>
        <v>49579.26</v>
      </c>
      <c r="H169" s="3">
        <f t="shared" si="17"/>
        <v>4923040.8799999971</v>
      </c>
    </row>
    <row r="170" spans="1:8" x14ac:dyDescent="0.3">
      <c r="A170">
        <v>164</v>
      </c>
      <c r="B170" s="3">
        <f t="shared" si="14"/>
        <v>4923040.8799999971</v>
      </c>
      <c r="C170" s="3">
        <f t="shared" si="15"/>
        <v>30974.13</v>
      </c>
      <c r="D170" s="3">
        <f t="shared" si="12"/>
        <v>80865.33</v>
      </c>
      <c r="E170" s="3">
        <v>0</v>
      </c>
      <c r="F170" s="3">
        <f t="shared" si="13"/>
        <v>80865.33</v>
      </c>
      <c r="G170" s="3">
        <f t="shared" si="16"/>
        <v>49891.199999999997</v>
      </c>
      <c r="H170" s="3">
        <f t="shared" si="17"/>
        <v>4873149.6799999969</v>
      </c>
    </row>
    <row r="171" spans="1:8" x14ac:dyDescent="0.3">
      <c r="A171">
        <v>165</v>
      </c>
      <c r="B171" s="3">
        <f t="shared" si="14"/>
        <v>4873149.6799999969</v>
      </c>
      <c r="C171" s="3">
        <f t="shared" si="15"/>
        <v>30660.23</v>
      </c>
      <c r="D171" s="3">
        <f t="shared" si="12"/>
        <v>80865.33</v>
      </c>
      <c r="E171" s="3">
        <v>0</v>
      </c>
      <c r="F171" s="3">
        <f t="shared" si="13"/>
        <v>80865.33</v>
      </c>
      <c r="G171" s="3">
        <f t="shared" si="16"/>
        <v>50205.100000000006</v>
      </c>
      <c r="H171" s="3">
        <f t="shared" si="17"/>
        <v>4822944.5799999973</v>
      </c>
    </row>
    <row r="172" spans="1:8" x14ac:dyDescent="0.3">
      <c r="A172">
        <v>166</v>
      </c>
      <c r="B172" s="3">
        <f t="shared" si="14"/>
        <v>4822944.5799999973</v>
      </c>
      <c r="C172" s="3">
        <f t="shared" si="15"/>
        <v>30344.36</v>
      </c>
      <c r="D172" s="3">
        <f t="shared" si="12"/>
        <v>80865.33</v>
      </c>
      <c r="E172" s="3">
        <v>0</v>
      </c>
      <c r="F172" s="3">
        <f t="shared" si="13"/>
        <v>80865.33</v>
      </c>
      <c r="G172" s="3">
        <f t="shared" si="16"/>
        <v>50520.97</v>
      </c>
      <c r="H172" s="3">
        <f t="shared" si="17"/>
        <v>4772423.6099999975</v>
      </c>
    </row>
    <row r="173" spans="1:8" x14ac:dyDescent="0.3">
      <c r="A173">
        <v>167</v>
      </c>
      <c r="B173" s="3">
        <f t="shared" si="14"/>
        <v>4772423.6099999975</v>
      </c>
      <c r="C173" s="3">
        <f t="shared" si="15"/>
        <v>30026.5</v>
      </c>
      <c r="D173" s="3">
        <f t="shared" si="12"/>
        <v>80865.33</v>
      </c>
      <c r="E173" s="3">
        <v>0</v>
      </c>
      <c r="F173" s="3">
        <f t="shared" si="13"/>
        <v>80865.33</v>
      </c>
      <c r="G173" s="3">
        <f t="shared" si="16"/>
        <v>50838.83</v>
      </c>
      <c r="H173" s="3">
        <f t="shared" si="17"/>
        <v>4721584.7799999975</v>
      </c>
    </row>
    <row r="174" spans="1:8" x14ac:dyDescent="0.3">
      <c r="A174">
        <v>168</v>
      </c>
      <c r="B174" s="3">
        <f t="shared" si="14"/>
        <v>4721584.7799999975</v>
      </c>
      <c r="C174" s="3">
        <f t="shared" si="15"/>
        <v>29706.639999999999</v>
      </c>
      <c r="D174" s="3">
        <f t="shared" si="12"/>
        <v>80865.33</v>
      </c>
      <c r="E174" s="3">
        <v>0</v>
      </c>
      <c r="F174" s="3">
        <f t="shared" si="13"/>
        <v>80865.33</v>
      </c>
      <c r="G174" s="3">
        <f t="shared" si="16"/>
        <v>51158.69</v>
      </c>
      <c r="H174" s="3">
        <f t="shared" si="17"/>
        <v>4670426.0899999971</v>
      </c>
    </row>
    <row r="175" spans="1:8" x14ac:dyDescent="0.3">
      <c r="A175">
        <v>169</v>
      </c>
      <c r="B175" s="3">
        <f t="shared" si="14"/>
        <v>4670426.0899999971</v>
      </c>
      <c r="C175" s="3">
        <f t="shared" si="15"/>
        <v>29384.76</v>
      </c>
      <c r="D175" s="3">
        <f t="shared" si="12"/>
        <v>80865.33</v>
      </c>
      <c r="E175" s="3">
        <v>0</v>
      </c>
      <c r="F175" s="3">
        <f t="shared" si="13"/>
        <v>80865.33</v>
      </c>
      <c r="G175" s="3">
        <f t="shared" si="16"/>
        <v>51480.570000000007</v>
      </c>
      <c r="H175" s="3">
        <f t="shared" si="17"/>
        <v>4618945.5199999968</v>
      </c>
    </row>
    <row r="176" spans="1:8" x14ac:dyDescent="0.3">
      <c r="A176">
        <v>170</v>
      </c>
      <c r="B176" s="3">
        <f t="shared" si="14"/>
        <v>4618945.5199999968</v>
      </c>
      <c r="C176" s="3">
        <f t="shared" si="15"/>
        <v>29060.87</v>
      </c>
      <c r="D176" s="3">
        <f t="shared" si="12"/>
        <v>80865.33</v>
      </c>
      <c r="E176" s="3">
        <v>0</v>
      </c>
      <c r="F176" s="3">
        <f t="shared" si="13"/>
        <v>80865.33</v>
      </c>
      <c r="G176" s="3">
        <f t="shared" si="16"/>
        <v>51804.460000000006</v>
      </c>
      <c r="H176" s="3">
        <f t="shared" si="17"/>
        <v>4567141.0599999968</v>
      </c>
    </row>
    <row r="177" spans="1:8" x14ac:dyDescent="0.3">
      <c r="A177">
        <v>171</v>
      </c>
      <c r="B177" s="3">
        <f t="shared" si="14"/>
        <v>4567141.0599999968</v>
      </c>
      <c r="C177" s="3">
        <f t="shared" si="15"/>
        <v>28734.93</v>
      </c>
      <c r="D177" s="3">
        <f t="shared" si="12"/>
        <v>80865.33</v>
      </c>
      <c r="E177" s="3">
        <v>0</v>
      </c>
      <c r="F177" s="3">
        <f t="shared" si="13"/>
        <v>80865.33</v>
      </c>
      <c r="G177" s="3">
        <f t="shared" si="16"/>
        <v>52130.400000000001</v>
      </c>
      <c r="H177" s="3">
        <f t="shared" si="17"/>
        <v>4515010.6599999964</v>
      </c>
    </row>
    <row r="178" spans="1:8" x14ac:dyDescent="0.3">
      <c r="A178">
        <v>172</v>
      </c>
      <c r="B178" s="3">
        <f t="shared" si="14"/>
        <v>4515010.6599999964</v>
      </c>
      <c r="C178" s="3">
        <f t="shared" si="15"/>
        <v>28406.94</v>
      </c>
      <c r="D178" s="3">
        <f t="shared" si="12"/>
        <v>80865.33</v>
      </c>
      <c r="E178" s="3">
        <v>0</v>
      </c>
      <c r="F178" s="3">
        <f t="shared" si="13"/>
        <v>80865.33</v>
      </c>
      <c r="G178" s="3">
        <f t="shared" si="16"/>
        <v>52458.39</v>
      </c>
      <c r="H178" s="3">
        <f t="shared" si="17"/>
        <v>4462552.2699999968</v>
      </c>
    </row>
    <row r="179" spans="1:8" x14ac:dyDescent="0.3">
      <c r="A179">
        <v>173</v>
      </c>
      <c r="B179" s="3">
        <f t="shared" si="14"/>
        <v>4462552.2699999968</v>
      </c>
      <c r="C179" s="3">
        <f t="shared" si="15"/>
        <v>28076.89</v>
      </c>
      <c r="D179" s="3">
        <f t="shared" si="12"/>
        <v>80865.33</v>
      </c>
      <c r="E179" s="3">
        <v>0</v>
      </c>
      <c r="F179" s="3">
        <f t="shared" si="13"/>
        <v>80865.33</v>
      </c>
      <c r="G179" s="3">
        <f t="shared" si="16"/>
        <v>52788.44</v>
      </c>
      <c r="H179" s="3">
        <f t="shared" si="17"/>
        <v>4409763.8299999963</v>
      </c>
    </row>
    <row r="180" spans="1:8" x14ac:dyDescent="0.3">
      <c r="A180">
        <v>174</v>
      </c>
      <c r="B180" s="3">
        <f t="shared" si="14"/>
        <v>4409763.8299999963</v>
      </c>
      <c r="C180" s="3">
        <f t="shared" si="15"/>
        <v>27744.76</v>
      </c>
      <c r="D180" s="3">
        <f t="shared" si="12"/>
        <v>80865.33</v>
      </c>
      <c r="E180" s="3">
        <v>0</v>
      </c>
      <c r="F180" s="3">
        <f t="shared" si="13"/>
        <v>80865.33</v>
      </c>
      <c r="G180" s="3">
        <f t="shared" si="16"/>
        <v>53120.570000000007</v>
      </c>
      <c r="H180" s="3">
        <f t="shared" si="17"/>
        <v>4356643.2599999961</v>
      </c>
    </row>
    <row r="181" spans="1:8" x14ac:dyDescent="0.3">
      <c r="A181">
        <v>175</v>
      </c>
      <c r="B181" s="3">
        <f t="shared" si="14"/>
        <v>4356643.2599999961</v>
      </c>
      <c r="C181" s="3">
        <f t="shared" si="15"/>
        <v>27410.55</v>
      </c>
      <c r="D181" s="3">
        <f t="shared" si="12"/>
        <v>80865.33</v>
      </c>
      <c r="E181" s="3">
        <v>0</v>
      </c>
      <c r="F181" s="3">
        <f t="shared" si="13"/>
        <v>80865.33</v>
      </c>
      <c r="G181" s="3">
        <f t="shared" si="16"/>
        <v>53454.78</v>
      </c>
      <c r="H181" s="3">
        <f t="shared" si="17"/>
        <v>4303188.4799999958</v>
      </c>
    </row>
    <row r="182" spans="1:8" x14ac:dyDescent="0.3">
      <c r="A182">
        <v>176</v>
      </c>
      <c r="B182" s="3">
        <f t="shared" si="14"/>
        <v>4303188.4799999958</v>
      </c>
      <c r="C182" s="3">
        <f t="shared" si="15"/>
        <v>27074.23</v>
      </c>
      <c r="D182" s="3">
        <f t="shared" si="12"/>
        <v>80865.33</v>
      </c>
      <c r="E182" s="3">
        <v>0</v>
      </c>
      <c r="F182" s="3">
        <f t="shared" si="13"/>
        <v>80865.33</v>
      </c>
      <c r="G182" s="3">
        <f t="shared" si="16"/>
        <v>53791.100000000006</v>
      </c>
      <c r="H182" s="3">
        <f t="shared" si="17"/>
        <v>4249397.3799999962</v>
      </c>
    </row>
    <row r="183" spans="1:8" x14ac:dyDescent="0.3">
      <c r="A183">
        <v>177</v>
      </c>
      <c r="B183" s="3">
        <f t="shared" si="14"/>
        <v>4249397.3799999962</v>
      </c>
      <c r="C183" s="3">
        <f t="shared" si="15"/>
        <v>26735.79</v>
      </c>
      <c r="D183" s="3">
        <f t="shared" si="12"/>
        <v>80865.33</v>
      </c>
      <c r="E183" s="3">
        <v>0</v>
      </c>
      <c r="F183" s="3">
        <f t="shared" si="13"/>
        <v>80865.33</v>
      </c>
      <c r="G183" s="3">
        <f t="shared" si="16"/>
        <v>54129.54</v>
      </c>
      <c r="H183" s="3">
        <f t="shared" si="17"/>
        <v>4195267.8399999961</v>
      </c>
    </row>
    <row r="184" spans="1:8" x14ac:dyDescent="0.3">
      <c r="A184">
        <v>178</v>
      </c>
      <c r="B184" s="3">
        <f t="shared" si="14"/>
        <v>4195267.8399999961</v>
      </c>
      <c r="C184" s="3">
        <f t="shared" si="15"/>
        <v>26395.23</v>
      </c>
      <c r="D184" s="3">
        <f t="shared" si="12"/>
        <v>80865.33</v>
      </c>
      <c r="E184" s="3">
        <v>0</v>
      </c>
      <c r="F184" s="3">
        <f t="shared" si="13"/>
        <v>80865.33</v>
      </c>
      <c r="G184" s="3">
        <f t="shared" si="16"/>
        <v>54470.100000000006</v>
      </c>
      <c r="H184" s="3">
        <f t="shared" si="17"/>
        <v>4140797.739999996</v>
      </c>
    </row>
    <row r="185" spans="1:8" x14ac:dyDescent="0.3">
      <c r="A185">
        <v>179</v>
      </c>
      <c r="B185" s="3">
        <f t="shared" si="14"/>
        <v>4140797.739999996</v>
      </c>
      <c r="C185" s="3">
        <f t="shared" si="15"/>
        <v>26052.52</v>
      </c>
      <c r="D185" s="3">
        <f t="shared" si="12"/>
        <v>80865.33</v>
      </c>
      <c r="E185" s="3">
        <v>0</v>
      </c>
      <c r="F185" s="3">
        <f t="shared" si="13"/>
        <v>80865.33</v>
      </c>
      <c r="G185" s="3">
        <f t="shared" si="16"/>
        <v>54812.81</v>
      </c>
      <c r="H185" s="3">
        <f t="shared" si="17"/>
        <v>4085984.929999996</v>
      </c>
    </row>
    <row r="186" spans="1:8" x14ac:dyDescent="0.3">
      <c r="A186">
        <v>180</v>
      </c>
      <c r="B186" s="3">
        <f t="shared" si="14"/>
        <v>4085984.929999996</v>
      </c>
      <c r="C186" s="3">
        <f t="shared" si="15"/>
        <v>25707.66</v>
      </c>
      <c r="D186" s="3">
        <f t="shared" si="12"/>
        <v>80865.33</v>
      </c>
      <c r="E186" s="3">
        <v>0</v>
      </c>
      <c r="F186" s="3">
        <f t="shared" si="13"/>
        <v>80865.33</v>
      </c>
      <c r="G186" s="3">
        <f t="shared" si="16"/>
        <v>55157.67</v>
      </c>
      <c r="H186" s="3">
        <f t="shared" si="17"/>
        <v>4030827.2599999961</v>
      </c>
    </row>
    <row r="187" spans="1:8" x14ac:dyDescent="0.3">
      <c r="A187">
        <v>181</v>
      </c>
      <c r="B187" s="3">
        <f t="shared" si="14"/>
        <v>4030827.2599999961</v>
      </c>
      <c r="C187" s="3">
        <f t="shared" si="15"/>
        <v>25360.62</v>
      </c>
      <c r="D187" s="3">
        <f t="shared" si="12"/>
        <v>80865.33</v>
      </c>
      <c r="E187" s="3">
        <v>0</v>
      </c>
      <c r="F187" s="3">
        <f t="shared" si="13"/>
        <v>80865.33</v>
      </c>
      <c r="G187" s="3">
        <f t="shared" si="16"/>
        <v>55504.710000000006</v>
      </c>
      <c r="H187" s="3">
        <f t="shared" si="17"/>
        <v>3975322.5499999961</v>
      </c>
    </row>
    <row r="188" spans="1:8" x14ac:dyDescent="0.3">
      <c r="A188">
        <v>182</v>
      </c>
      <c r="B188" s="3">
        <f t="shared" si="14"/>
        <v>3975322.5499999961</v>
      </c>
      <c r="C188" s="3">
        <f t="shared" si="15"/>
        <v>25011.4</v>
      </c>
      <c r="D188" s="3">
        <f t="shared" si="12"/>
        <v>80865.33</v>
      </c>
      <c r="E188" s="3">
        <v>0</v>
      </c>
      <c r="F188" s="3">
        <f t="shared" si="13"/>
        <v>80865.33</v>
      </c>
      <c r="G188" s="3">
        <f t="shared" si="16"/>
        <v>55853.93</v>
      </c>
      <c r="H188" s="3">
        <f t="shared" si="17"/>
        <v>3919468.6199999959</v>
      </c>
    </row>
    <row r="189" spans="1:8" x14ac:dyDescent="0.3">
      <c r="A189">
        <v>183</v>
      </c>
      <c r="B189" s="3">
        <f t="shared" si="14"/>
        <v>3919468.6199999959</v>
      </c>
      <c r="C189" s="3">
        <f t="shared" si="15"/>
        <v>24659.99</v>
      </c>
      <c r="D189" s="3">
        <f t="shared" si="12"/>
        <v>80865.33</v>
      </c>
      <c r="E189" s="3">
        <v>0</v>
      </c>
      <c r="F189" s="3">
        <f t="shared" si="13"/>
        <v>80865.33</v>
      </c>
      <c r="G189" s="3">
        <f t="shared" si="16"/>
        <v>56205.34</v>
      </c>
      <c r="H189" s="3">
        <f t="shared" si="17"/>
        <v>3863263.2799999961</v>
      </c>
    </row>
    <row r="190" spans="1:8" x14ac:dyDescent="0.3">
      <c r="A190">
        <v>184</v>
      </c>
      <c r="B190" s="3">
        <f t="shared" si="14"/>
        <v>3863263.2799999961</v>
      </c>
      <c r="C190" s="3">
        <f t="shared" si="15"/>
        <v>24306.36</v>
      </c>
      <c r="D190" s="3">
        <f t="shared" si="12"/>
        <v>80865.33</v>
      </c>
      <c r="E190" s="3">
        <v>0</v>
      </c>
      <c r="F190" s="3">
        <f t="shared" si="13"/>
        <v>80865.33</v>
      </c>
      <c r="G190" s="3">
        <f t="shared" si="16"/>
        <v>56558.97</v>
      </c>
      <c r="H190" s="3">
        <f t="shared" si="17"/>
        <v>3806704.3099999959</v>
      </c>
    </row>
    <row r="191" spans="1:8" x14ac:dyDescent="0.3">
      <c r="A191">
        <v>185</v>
      </c>
      <c r="B191" s="3">
        <f t="shared" si="14"/>
        <v>3806704.3099999959</v>
      </c>
      <c r="C191" s="3">
        <f t="shared" si="15"/>
        <v>23950.51</v>
      </c>
      <c r="D191" s="3">
        <f t="shared" si="12"/>
        <v>80865.33</v>
      </c>
      <c r="E191" s="3">
        <v>0</v>
      </c>
      <c r="F191" s="3">
        <f t="shared" si="13"/>
        <v>80865.33</v>
      </c>
      <c r="G191" s="3">
        <f t="shared" si="16"/>
        <v>56914.820000000007</v>
      </c>
      <c r="H191" s="3">
        <f t="shared" si="17"/>
        <v>3749789.489999996</v>
      </c>
    </row>
    <row r="192" spans="1:8" x14ac:dyDescent="0.3">
      <c r="A192">
        <v>186</v>
      </c>
      <c r="B192" s="3">
        <f t="shared" si="14"/>
        <v>3749789.489999996</v>
      </c>
      <c r="C192" s="3">
        <f t="shared" si="15"/>
        <v>23592.43</v>
      </c>
      <c r="D192" s="3">
        <f t="shared" si="12"/>
        <v>80865.33</v>
      </c>
      <c r="E192" s="3">
        <v>0</v>
      </c>
      <c r="F192" s="3">
        <f t="shared" si="13"/>
        <v>80865.33</v>
      </c>
      <c r="G192" s="3">
        <f t="shared" si="16"/>
        <v>57272.9</v>
      </c>
      <c r="H192" s="3">
        <f t="shared" si="17"/>
        <v>3692516.5899999961</v>
      </c>
    </row>
    <row r="193" spans="1:8" x14ac:dyDescent="0.3">
      <c r="A193">
        <v>187</v>
      </c>
      <c r="B193" s="3">
        <f t="shared" si="14"/>
        <v>3692516.5899999961</v>
      </c>
      <c r="C193" s="3">
        <f t="shared" si="15"/>
        <v>23232.080000000002</v>
      </c>
      <c r="D193" s="3">
        <f t="shared" si="12"/>
        <v>80865.33</v>
      </c>
      <c r="E193" s="3">
        <v>0</v>
      </c>
      <c r="F193" s="3">
        <f t="shared" si="13"/>
        <v>80865.33</v>
      </c>
      <c r="G193" s="3">
        <f t="shared" si="16"/>
        <v>57633.25</v>
      </c>
      <c r="H193" s="3">
        <f t="shared" si="17"/>
        <v>3634883.3399999961</v>
      </c>
    </row>
    <row r="194" spans="1:8" x14ac:dyDescent="0.3">
      <c r="A194">
        <v>188</v>
      </c>
      <c r="B194" s="3">
        <f t="shared" si="14"/>
        <v>3634883.3399999961</v>
      </c>
      <c r="C194" s="3">
        <f t="shared" si="15"/>
        <v>22869.47</v>
      </c>
      <c r="D194" s="3">
        <f t="shared" si="12"/>
        <v>80865.33</v>
      </c>
      <c r="E194" s="3">
        <v>0</v>
      </c>
      <c r="F194" s="3">
        <f t="shared" si="13"/>
        <v>80865.33</v>
      </c>
      <c r="G194" s="3">
        <f t="shared" si="16"/>
        <v>57995.86</v>
      </c>
      <c r="H194" s="3">
        <f t="shared" si="17"/>
        <v>3576887.4799999963</v>
      </c>
    </row>
    <row r="195" spans="1:8" x14ac:dyDescent="0.3">
      <c r="A195">
        <v>189</v>
      </c>
      <c r="B195" s="3">
        <f t="shared" si="14"/>
        <v>3576887.4799999963</v>
      </c>
      <c r="C195" s="3">
        <f t="shared" si="15"/>
        <v>22504.58</v>
      </c>
      <c r="D195" s="3">
        <f t="shared" si="12"/>
        <v>80865.33</v>
      </c>
      <c r="E195" s="3">
        <v>0</v>
      </c>
      <c r="F195" s="3">
        <f t="shared" si="13"/>
        <v>80865.33</v>
      </c>
      <c r="G195" s="3">
        <f t="shared" si="16"/>
        <v>58360.75</v>
      </c>
      <c r="H195" s="3">
        <f t="shared" si="17"/>
        <v>3518526.7299999963</v>
      </c>
    </row>
    <row r="196" spans="1:8" x14ac:dyDescent="0.3">
      <c r="A196">
        <v>190</v>
      </c>
      <c r="B196" s="3">
        <f t="shared" si="14"/>
        <v>3518526.7299999963</v>
      </c>
      <c r="C196" s="3">
        <f t="shared" si="15"/>
        <v>22137.4</v>
      </c>
      <c r="D196" s="3">
        <f t="shared" si="12"/>
        <v>80865.33</v>
      </c>
      <c r="E196" s="3">
        <v>0</v>
      </c>
      <c r="F196" s="3">
        <f t="shared" si="13"/>
        <v>80865.33</v>
      </c>
      <c r="G196" s="3">
        <f t="shared" si="16"/>
        <v>58727.93</v>
      </c>
      <c r="H196" s="3">
        <f t="shared" si="17"/>
        <v>3459798.7999999961</v>
      </c>
    </row>
    <row r="197" spans="1:8" x14ac:dyDescent="0.3">
      <c r="A197">
        <v>191</v>
      </c>
      <c r="B197" s="3">
        <f t="shared" si="14"/>
        <v>3459798.7999999961</v>
      </c>
      <c r="C197" s="3">
        <f t="shared" si="15"/>
        <v>21767.9</v>
      </c>
      <c r="D197" s="3">
        <f t="shared" si="12"/>
        <v>80865.33</v>
      </c>
      <c r="E197" s="3">
        <v>0</v>
      </c>
      <c r="F197" s="3">
        <f t="shared" si="13"/>
        <v>80865.33</v>
      </c>
      <c r="G197" s="3">
        <f t="shared" si="16"/>
        <v>59097.43</v>
      </c>
      <c r="H197" s="3">
        <f t="shared" si="17"/>
        <v>3400701.3699999959</v>
      </c>
    </row>
    <row r="198" spans="1:8" x14ac:dyDescent="0.3">
      <c r="A198">
        <v>192</v>
      </c>
      <c r="B198" s="3">
        <f t="shared" si="14"/>
        <v>3400701.3699999959</v>
      </c>
      <c r="C198" s="3">
        <f t="shared" si="15"/>
        <v>21396.080000000002</v>
      </c>
      <c r="D198" s="3">
        <f t="shared" si="12"/>
        <v>80865.33</v>
      </c>
      <c r="E198" s="3">
        <v>0</v>
      </c>
      <c r="F198" s="3">
        <f t="shared" si="13"/>
        <v>80865.33</v>
      </c>
      <c r="G198" s="3">
        <f t="shared" si="16"/>
        <v>59469.25</v>
      </c>
      <c r="H198" s="3">
        <f t="shared" si="17"/>
        <v>3341232.1199999959</v>
      </c>
    </row>
    <row r="199" spans="1:8" x14ac:dyDescent="0.3">
      <c r="A199">
        <v>193</v>
      </c>
      <c r="B199" s="3">
        <f t="shared" si="14"/>
        <v>3341232.1199999959</v>
      </c>
      <c r="C199" s="3">
        <f t="shared" si="15"/>
        <v>21021.919999999998</v>
      </c>
      <c r="D199" s="3">
        <f t="shared" ref="D199:D262" si="18">$E$1</f>
        <v>80865.33</v>
      </c>
      <c r="E199" s="3">
        <v>0</v>
      </c>
      <c r="F199" s="3">
        <f t="shared" ref="F199:F262" si="19">D199+E199</f>
        <v>80865.33</v>
      </c>
      <c r="G199" s="3">
        <f t="shared" si="16"/>
        <v>59843.41</v>
      </c>
      <c r="H199" s="3">
        <f t="shared" si="17"/>
        <v>3281388.7099999958</v>
      </c>
    </row>
    <row r="200" spans="1:8" x14ac:dyDescent="0.3">
      <c r="A200">
        <v>194</v>
      </c>
      <c r="B200" s="3">
        <f t="shared" ref="B200:B263" si="20">H199</f>
        <v>3281388.7099999958</v>
      </c>
      <c r="C200" s="3">
        <f t="shared" ref="C200:C263" si="21">ROUND(B200*($B$2/12/100), 2)</f>
        <v>20645.400000000001</v>
      </c>
      <c r="D200" s="3">
        <f t="shared" si="18"/>
        <v>80865.33</v>
      </c>
      <c r="E200" s="3">
        <v>0</v>
      </c>
      <c r="F200" s="3">
        <f t="shared" si="19"/>
        <v>80865.33</v>
      </c>
      <c r="G200" s="3">
        <f t="shared" ref="G200:G263" si="22">MIN(B200, F200-C200)</f>
        <v>60219.93</v>
      </c>
      <c r="H200" s="3">
        <f t="shared" ref="H200:H263" si="23">MAX(0, B200-G200)</f>
        <v>3221168.7799999956</v>
      </c>
    </row>
    <row r="201" spans="1:8" x14ac:dyDescent="0.3">
      <c r="A201">
        <v>195</v>
      </c>
      <c r="B201" s="3">
        <f t="shared" si="20"/>
        <v>3221168.7799999956</v>
      </c>
      <c r="C201" s="3">
        <f t="shared" si="21"/>
        <v>20266.52</v>
      </c>
      <c r="D201" s="3">
        <f t="shared" si="18"/>
        <v>80865.33</v>
      </c>
      <c r="E201" s="3">
        <v>0</v>
      </c>
      <c r="F201" s="3">
        <f t="shared" si="19"/>
        <v>80865.33</v>
      </c>
      <c r="G201" s="3">
        <f t="shared" si="22"/>
        <v>60598.81</v>
      </c>
      <c r="H201" s="3">
        <f t="shared" si="23"/>
        <v>3160569.9699999955</v>
      </c>
    </row>
    <row r="202" spans="1:8" x14ac:dyDescent="0.3">
      <c r="A202">
        <v>196</v>
      </c>
      <c r="B202" s="3">
        <f t="shared" si="20"/>
        <v>3160569.9699999955</v>
      </c>
      <c r="C202" s="3">
        <f t="shared" si="21"/>
        <v>19885.25</v>
      </c>
      <c r="D202" s="3">
        <f t="shared" si="18"/>
        <v>80865.33</v>
      </c>
      <c r="E202" s="3">
        <v>0</v>
      </c>
      <c r="F202" s="3">
        <f t="shared" si="19"/>
        <v>80865.33</v>
      </c>
      <c r="G202" s="3">
        <f t="shared" si="22"/>
        <v>60980.08</v>
      </c>
      <c r="H202" s="3">
        <f t="shared" si="23"/>
        <v>3099589.8899999955</v>
      </c>
    </row>
    <row r="203" spans="1:8" x14ac:dyDescent="0.3">
      <c r="A203">
        <v>197</v>
      </c>
      <c r="B203" s="3">
        <f t="shared" si="20"/>
        <v>3099589.8899999955</v>
      </c>
      <c r="C203" s="3">
        <f t="shared" si="21"/>
        <v>19501.59</v>
      </c>
      <c r="D203" s="3">
        <f t="shared" si="18"/>
        <v>80865.33</v>
      </c>
      <c r="E203" s="3">
        <v>0</v>
      </c>
      <c r="F203" s="3">
        <f t="shared" si="19"/>
        <v>80865.33</v>
      </c>
      <c r="G203" s="3">
        <f t="shared" si="22"/>
        <v>61363.740000000005</v>
      </c>
      <c r="H203" s="3">
        <f t="shared" si="23"/>
        <v>3038226.1499999953</v>
      </c>
    </row>
    <row r="204" spans="1:8" x14ac:dyDescent="0.3">
      <c r="A204">
        <v>198</v>
      </c>
      <c r="B204" s="3">
        <f t="shared" si="20"/>
        <v>3038226.1499999953</v>
      </c>
      <c r="C204" s="3">
        <f t="shared" si="21"/>
        <v>19115.509999999998</v>
      </c>
      <c r="D204" s="3">
        <f t="shared" si="18"/>
        <v>80865.33</v>
      </c>
      <c r="E204" s="3">
        <v>0</v>
      </c>
      <c r="F204" s="3">
        <f t="shared" si="19"/>
        <v>80865.33</v>
      </c>
      <c r="G204" s="3">
        <f t="shared" si="22"/>
        <v>61749.820000000007</v>
      </c>
      <c r="H204" s="3">
        <f t="shared" si="23"/>
        <v>2976476.3299999954</v>
      </c>
    </row>
    <row r="205" spans="1:8" x14ac:dyDescent="0.3">
      <c r="A205">
        <v>199</v>
      </c>
      <c r="B205" s="3">
        <f t="shared" si="20"/>
        <v>2976476.3299999954</v>
      </c>
      <c r="C205" s="3">
        <f t="shared" si="21"/>
        <v>18727</v>
      </c>
      <c r="D205" s="3">
        <f t="shared" si="18"/>
        <v>80865.33</v>
      </c>
      <c r="E205" s="3">
        <v>0</v>
      </c>
      <c r="F205" s="3">
        <f t="shared" si="19"/>
        <v>80865.33</v>
      </c>
      <c r="G205" s="3">
        <f t="shared" si="22"/>
        <v>62138.33</v>
      </c>
      <c r="H205" s="3">
        <f t="shared" si="23"/>
        <v>2914337.9999999953</v>
      </c>
    </row>
    <row r="206" spans="1:8" x14ac:dyDescent="0.3">
      <c r="A206">
        <v>200</v>
      </c>
      <c r="B206" s="3">
        <f t="shared" si="20"/>
        <v>2914337.9999999953</v>
      </c>
      <c r="C206" s="3">
        <f t="shared" si="21"/>
        <v>18336.04</v>
      </c>
      <c r="D206" s="3">
        <f t="shared" si="18"/>
        <v>80865.33</v>
      </c>
      <c r="E206" s="3">
        <v>0</v>
      </c>
      <c r="F206" s="3">
        <f t="shared" si="19"/>
        <v>80865.33</v>
      </c>
      <c r="G206" s="3">
        <f t="shared" si="22"/>
        <v>62529.29</v>
      </c>
      <c r="H206" s="3">
        <f t="shared" si="23"/>
        <v>2851808.7099999953</v>
      </c>
    </row>
    <row r="207" spans="1:8" x14ac:dyDescent="0.3">
      <c r="A207">
        <v>201</v>
      </c>
      <c r="B207" s="3">
        <f t="shared" si="20"/>
        <v>2851808.7099999953</v>
      </c>
      <c r="C207" s="3">
        <f t="shared" si="21"/>
        <v>17942.63</v>
      </c>
      <c r="D207" s="3">
        <f t="shared" si="18"/>
        <v>80865.33</v>
      </c>
      <c r="E207" s="3">
        <v>0</v>
      </c>
      <c r="F207" s="3">
        <f t="shared" si="19"/>
        <v>80865.33</v>
      </c>
      <c r="G207" s="3">
        <f t="shared" si="22"/>
        <v>62922.7</v>
      </c>
      <c r="H207" s="3">
        <f t="shared" si="23"/>
        <v>2788886.0099999951</v>
      </c>
    </row>
    <row r="208" spans="1:8" x14ac:dyDescent="0.3">
      <c r="A208">
        <v>202</v>
      </c>
      <c r="B208" s="3">
        <f t="shared" si="20"/>
        <v>2788886.0099999951</v>
      </c>
      <c r="C208" s="3">
        <f t="shared" si="21"/>
        <v>17546.740000000002</v>
      </c>
      <c r="D208" s="3">
        <f t="shared" si="18"/>
        <v>80865.33</v>
      </c>
      <c r="E208" s="3">
        <v>0</v>
      </c>
      <c r="F208" s="3">
        <f t="shared" si="19"/>
        <v>80865.33</v>
      </c>
      <c r="G208" s="3">
        <f t="shared" si="22"/>
        <v>63318.59</v>
      </c>
      <c r="H208" s="3">
        <f t="shared" si="23"/>
        <v>2725567.4199999953</v>
      </c>
    </row>
    <row r="209" spans="1:8" x14ac:dyDescent="0.3">
      <c r="A209">
        <v>203</v>
      </c>
      <c r="B209" s="3">
        <f t="shared" si="20"/>
        <v>2725567.4199999953</v>
      </c>
      <c r="C209" s="3">
        <f t="shared" si="21"/>
        <v>17148.36</v>
      </c>
      <c r="D209" s="3">
        <f t="shared" si="18"/>
        <v>80865.33</v>
      </c>
      <c r="E209" s="3">
        <v>0</v>
      </c>
      <c r="F209" s="3">
        <f t="shared" si="19"/>
        <v>80865.33</v>
      </c>
      <c r="G209" s="3">
        <f t="shared" si="22"/>
        <v>63716.97</v>
      </c>
      <c r="H209" s="3">
        <f t="shared" si="23"/>
        <v>2661850.4499999951</v>
      </c>
    </row>
    <row r="210" spans="1:8" x14ac:dyDescent="0.3">
      <c r="A210">
        <v>204</v>
      </c>
      <c r="B210" s="3">
        <f t="shared" si="20"/>
        <v>2661850.4499999951</v>
      </c>
      <c r="C210" s="3">
        <f t="shared" si="21"/>
        <v>16747.48</v>
      </c>
      <c r="D210" s="3">
        <f t="shared" si="18"/>
        <v>80865.33</v>
      </c>
      <c r="E210" s="3">
        <v>0</v>
      </c>
      <c r="F210" s="3">
        <f t="shared" si="19"/>
        <v>80865.33</v>
      </c>
      <c r="G210" s="3">
        <f t="shared" si="22"/>
        <v>64117.850000000006</v>
      </c>
      <c r="H210" s="3">
        <f t="shared" si="23"/>
        <v>2597732.599999995</v>
      </c>
    </row>
    <row r="211" spans="1:8" x14ac:dyDescent="0.3">
      <c r="A211">
        <v>205</v>
      </c>
      <c r="B211" s="3">
        <f t="shared" si="20"/>
        <v>2597732.599999995</v>
      </c>
      <c r="C211" s="3">
        <f t="shared" si="21"/>
        <v>16344.07</v>
      </c>
      <c r="D211" s="3">
        <f t="shared" si="18"/>
        <v>80865.33</v>
      </c>
      <c r="E211" s="3">
        <v>0</v>
      </c>
      <c r="F211" s="3">
        <f t="shared" si="19"/>
        <v>80865.33</v>
      </c>
      <c r="G211" s="3">
        <f t="shared" si="22"/>
        <v>64521.26</v>
      </c>
      <c r="H211" s="3">
        <f t="shared" si="23"/>
        <v>2533211.3399999952</v>
      </c>
    </row>
    <row r="212" spans="1:8" x14ac:dyDescent="0.3">
      <c r="A212">
        <v>206</v>
      </c>
      <c r="B212" s="3">
        <f t="shared" si="20"/>
        <v>2533211.3399999952</v>
      </c>
      <c r="C212" s="3">
        <f t="shared" si="21"/>
        <v>15938.12</v>
      </c>
      <c r="D212" s="3">
        <f t="shared" si="18"/>
        <v>80865.33</v>
      </c>
      <c r="E212" s="3">
        <v>0</v>
      </c>
      <c r="F212" s="3">
        <f t="shared" si="19"/>
        <v>80865.33</v>
      </c>
      <c r="G212" s="3">
        <f t="shared" si="22"/>
        <v>64927.21</v>
      </c>
      <c r="H212" s="3">
        <f t="shared" si="23"/>
        <v>2468284.1299999952</v>
      </c>
    </row>
    <row r="213" spans="1:8" x14ac:dyDescent="0.3">
      <c r="A213">
        <v>207</v>
      </c>
      <c r="B213" s="3">
        <f t="shared" si="20"/>
        <v>2468284.1299999952</v>
      </c>
      <c r="C213" s="3">
        <f t="shared" si="21"/>
        <v>15529.62</v>
      </c>
      <c r="D213" s="3">
        <f t="shared" si="18"/>
        <v>80865.33</v>
      </c>
      <c r="E213" s="3">
        <v>0</v>
      </c>
      <c r="F213" s="3">
        <f t="shared" si="19"/>
        <v>80865.33</v>
      </c>
      <c r="G213" s="3">
        <f t="shared" si="22"/>
        <v>65335.71</v>
      </c>
      <c r="H213" s="3">
        <f t="shared" si="23"/>
        <v>2402948.4199999953</v>
      </c>
    </row>
    <row r="214" spans="1:8" x14ac:dyDescent="0.3">
      <c r="A214">
        <v>208</v>
      </c>
      <c r="B214" s="3">
        <f t="shared" si="20"/>
        <v>2402948.4199999953</v>
      </c>
      <c r="C214" s="3">
        <f t="shared" si="21"/>
        <v>15118.55</v>
      </c>
      <c r="D214" s="3">
        <f t="shared" si="18"/>
        <v>80865.33</v>
      </c>
      <c r="E214" s="3">
        <v>0</v>
      </c>
      <c r="F214" s="3">
        <f t="shared" si="19"/>
        <v>80865.33</v>
      </c>
      <c r="G214" s="3">
        <f t="shared" si="22"/>
        <v>65746.78</v>
      </c>
      <c r="H214" s="3">
        <f t="shared" si="23"/>
        <v>2337201.6399999955</v>
      </c>
    </row>
    <row r="215" spans="1:8" x14ac:dyDescent="0.3">
      <c r="A215">
        <v>209</v>
      </c>
      <c r="B215" s="3">
        <f t="shared" si="20"/>
        <v>2337201.6399999955</v>
      </c>
      <c r="C215" s="3">
        <f t="shared" si="21"/>
        <v>14704.89</v>
      </c>
      <c r="D215" s="3">
        <f t="shared" si="18"/>
        <v>80865.33</v>
      </c>
      <c r="E215" s="3">
        <v>0</v>
      </c>
      <c r="F215" s="3">
        <f t="shared" si="19"/>
        <v>80865.33</v>
      </c>
      <c r="G215" s="3">
        <f t="shared" si="22"/>
        <v>66160.44</v>
      </c>
      <c r="H215" s="3">
        <f t="shared" si="23"/>
        <v>2271041.1999999955</v>
      </c>
    </row>
    <row r="216" spans="1:8" x14ac:dyDescent="0.3">
      <c r="A216">
        <v>210</v>
      </c>
      <c r="B216" s="3">
        <f t="shared" si="20"/>
        <v>2271041.1999999955</v>
      </c>
      <c r="C216" s="3">
        <f t="shared" si="21"/>
        <v>14288.63</v>
      </c>
      <c r="D216" s="3">
        <f t="shared" si="18"/>
        <v>80865.33</v>
      </c>
      <c r="E216" s="3">
        <v>0</v>
      </c>
      <c r="F216" s="3">
        <f t="shared" si="19"/>
        <v>80865.33</v>
      </c>
      <c r="G216" s="3">
        <f t="shared" si="22"/>
        <v>66576.7</v>
      </c>
      <c r="H216" s="3">
        <f t="shared" si="23"/>
        <v>2204464.4999999953</v>
      </c>
    </row>
    <row r="217" spans="1:8" x14ac:dyDescent="0.3">
      <c r="A217">
        <v>211</v>
      </c>
      <c r="B217" s="3">
        <f t="shared" si="20"/>
        <v>2204464.4999999953</v>
      </c>
      <c r="C217" s="3">
        <f t="shared" si="21"/>
        <v>13869.76</v>
      </c>
      <c r="D217" s="3">
        <f t="shared" si="18"/>
        <v>80865.33</v>
      </c>
      <c r="E217" s="3">
        <v>0</v>
      </c>
      <c r="F217" s="3">
        <f t="shared" si="19"/>
        <v>80865.33</v>
      </c>
      <c r="G217" s="3">
        <f t="shared" si="22"/>
        <v>66995.570000000007</v>
      </c>
      <c r="H217" s="3">
        <f t="shared" si="23"/>
        <v>2137468.9299999955</v>
      </c>
    </row>
    <row r="218" spans="1:8" x14ac:dyDescent="0.3">
      <c r="A218">
        <v>212</v>
      </c>
      <c r="B218" s="3">
        <f t="shared" si="20"/>
        <v>2137468.9299999955</v>
      </c>
      <c r="C218" s="3">
        <f t="shared" si="21"/>
        <v>13448.24</v>
      </c>
      <c r="D218" s="3">
        <f t="shared" si="18"/>
        <v>80865.33</v>
      </c>
      <c r="E218" s="3">
        <v>0</v>
      </c>
      <c r="F218" s="3">
        <f t="shared" si="19"/>
        <v>80865.33</v>
      </c>
      <c r="G218" s="3">
        <f t="shared" si="22"/>
        <v>67417.09</v>
      </c>
      <c r="H218" s="3">
        <f t="shared" si="23"/>
        <v>2070051.8399999954</v>
      </c>
    </row>
    <row r="219" spans="1:8" x14ac:dyDescent="0.3">
      <c r="A219">
        <v>213</v>
      </c>
      <c r="B219" s="3">
        <f t="shared" si="20"/>
        <v>2070051.8399999954</v>
      </c>
      <c r="C219" s="3">
        <f t="shared" si="21"/>
        <v>13024.08</v>
      </c>
      <c r="D219" s="3">
        <f t="shared" si="18"/>
        <v>80865.33</v>
      </c>
      <c r="E219" s="3">
        <v>0</v>
      </c>
      <c r="F219" s="3">
        <f t="shared" si="19"/>
        <v>80865.33</v>
      </c>
      <c r="G219" s="3">
        <f t="shared" si="22"/>
        <v>67841.25</v>
      </c>
      <c r="H219" s="3">
        <f t="shared" si="23"/>
        <v>2002210.5899999954</v>
      </c>
    </row>
    <row r="220" spans="1:8" x14ac:dyDescent="0.3">
      <c r="A220">
        <v>214</v>
      </c>
      <c r="B220" s="3">
        <f t="shared" si="20"/>
        <v>2002210.5899999954</v>
      </c>
      <c r="C220" s="3">
        <f t="shared" si="21"/>
        <v>12597.24</v>
      </c>
      <c r="D220" s="3">
        <f t="shared" si="18"/>
        <v>80865.33</v>
      </c>
      <c r="E220" s="3">
        <v>0</v>
      </c>
      <c r="F220" s="3">
        <f t="shared" si="19"/>
        <v>80865.33</v>
      </c>
      <c r="G220" s="3">
        <f t="shared" si="22"/>
        <v>68268.09</v>
      </c>
      <c r="H220" s="3">
        <f t="shared" si="23"/>
        <v>1933942.4999999953</v>
      </c>
    </row>
    <row r="221" spans="1:8" x14ac:dyDescent="0.3">
      <c r="A221">
        <v>215</v>
      </c>
      <c r="B221" s="3">
        <f t="shared" si="20"/>
        <v>1933942.4999999953</v>
      </c>
      <c r="C221" s="3">
        <f t="shared" si="21"/>
        <v>12167.72</v>
      </c>
      <c r="D221" s="3">
        <f t="shared" si="18"/>
        <v>80865.33</v>
      </c>
      <c r="E221" s="3">
        <v>0</v>
      </c>
      <c r="F221" s="3">
        <f t="shared" si="19"/>
        <v>80865.33</v>
      </c>
      <c r="G221" s="3">
        <f t="shared" si="22"/>
        <v>68697.61</v>
      </c>
      <c r="H221" s="3">
        <f t="shared" si="23"/>
        <v>1865244.8899999952</v>
      </c>
    </row>
    <row r="222" spans="1:8" x14ac:dyDescent="0.3">
      <c r="A222">
        <v>216</v>
      </c>
      <c r="B222" s="3">
        <f t="shared" si="20"/>
        <v>1865244.8899999952</v>
      </c>
      <c r="C222" s="3">
        <f t="shared" si="21"/>
        <v>11735.5</v>
      </c>
      <c r="D222" s="3">
        <f t="shared" si="18"/>
        <v>80865.33</v>
      </c>
      <c r="E222" s="3">
        <v>0</v>
      </c>
      <c r="F222" s="3">
        <f t="shared" si="19"/>
        <v>80865.33</v>
      </c>
      <c r="G222" s="3">
        <f t="shared" si="22"/>
        <v>69129.83</v>
      </c>
      <c r="H222" s="3">
        <f t="shared" si="23"/>
        <v>1796115.0599999952</v>
      </c>
    </row>
    <row r="223" spans="1:8" x14ac:dyDescent="0.3">
      <c r="A223">
        <v>217</v>
      </c>
      <c r="B223" s="3">
        <f t="shared" si="20"/>
        <v>1796115.0599999952</v>
      </c>
      <c r="C223" s="3">
        <f t="shared" si="21"/>
        <v>11300.56</v>
      </c>
      <c r="D223" s="3">
        <f t="shared" si="18"/>
        <v>80865.33</v>
      </c>
      <c r="E223" s="3">
        <v>0</v>
      </c>
      <c r="F223" s="3">
        <f t="shared" si="19"/>
        <v>80865.33</v>
      </c>
      <c r="G223" s="3">
        <f t="shared" si="22"/>
        <v>69564.77</v>
      </c>
      <c r="H223" s="3">
        <f t="shared" si="23"/>
        <v>1726550.2899999951</v>
      </c>
    </row>
    <row r="224" spans="1:8" x14ac:dyDescent="0.3">
      <c r="A224">
        <v>218</v>
      </c>
      <c r="B224" s="3">
        <f t="shared" si="20"/>
        <v>1726550.2899999951</v>
      </c>
      <c r="C224" s="3">
        <f t="shared" si="21"/>
        <v>10862.88</v>
      </c>
      <c r="D224" s="3">
        <f t="shared" si="18"/>
        <v>80865.33</v>
      </c>
      <c r="E224" s="3">
        <v>0</v>
      </c>
      <c r="F224" s="3">
        <f t="shared" si="19"/>
        <v>80865.33</v>
      </c>
      <c r="G224" s="3">
        <f t="shared" si="22"/>
        <v>70002.45</v>
      </c>
      <c r="H224" s="3">
        <f t="shared" si="23"/>
        <v>1656547.8399999952</v>
      </c>
    </row>
    <row r="225" spans="1:8" x14ac:dyDescent="0.3">
      <c r="A225">
        <v>219</v>
      </c>
      <c r="B225" s="3">
        <f t="shared" si="20"/>
        <v>1656547.8399999952</v>
      </c>
      <c r="C225" s="3">
        <f t="shared" si="21"/>
        <v>10422.450000000001</v>
      </c>
      <c r="D225" s="3">
        <f t="shared" si="18"/>
        <v>80865.33</v>
      </c>
      <c r="E225" s="3">
        <v>0</v>
      </c>
      <c r="F225" s="3">
        <f t="shared" si="19"/>
        <v>80865.33</v>
      </c>
      <c r="G225" s="3">
        <f t="shared" si="22"/>
        <v>70442.880000000005</v>
      </c>
      <c r="H225" s="3">
        <f t="shared" si="23"/>
        <v>1586104.9599999953</v>
      </c>
    </row>
    <row r="226" spans="1:8" x14ac:dyDescent="0.3">
      <c r="A226">
        <v>220</v>
      </c>
      <c r="B226" s="3">
        <f t="shared" si="20"/>
        <v>1586104.9599999953</v>
      </c>
      <c r="C226" s="3">
        <f t="shared" si="21"/>
        <v>9979.24</v>
      </c>
      <c r="D226" s="3">
        <f t="shared" si="18"/>
        <v>80865.33</v>
      </c>
      <c r="E226" s="3">
        <v>0</v>
      </c>
      <c r="F226" s="3">
        <f t="shared" si="19"/>
        <v>80865.33</v>
      </c>
      <c r="G226" s="3">
        <f t="shared" si="22"/>
        <v>70886.09</v>
      </c>
      <c r="H226" s="3">
        <f t="shared" si="23"/>
        <v>1515218.8699999952</v>
      </c>
    </row>
    <row r="227" spans="1:8" x14ac:dyDescent="0.3">
      <c r="A227">
        <v>221</v>
      </c>
      <c r="B227" s="3">
        <f t="shared" si="20"/>
        <v>1515218.8699999952</v>
      </c>
      <c r="C227" s="3">
        <f t="shared" si="21"/>
        <v>9533.25</v>
      </c>
      <c r="D227" s="3">
        <f t="shared" si="18"/>
        <v>80865.33</v>
      </c>
      <c r="E227" s="3">
        <v>0</v>
      </c>
      <c r="F227" s="3">
        <f t="shared" si="19"/>
        <v>80865.33</v>
      </c>
      <c r="G227" s="3">
        <f t="shared" si="22"/>
        <v>71332.08</v>
      </c>
      <c r="H227" s="3">
        <f t="shared" si="23"/>
        <v>1443886.7899999951</v>
      </c>
    </row>
    <row r="228" spans="1:8" x14ac:dyDescent="0.3">
      <c r="A228">
        <v>222</v>
      </c>
      <c r="B228" s="3">
        <f t="shared" si="20"/>
        <v>1443886.7899999951</v>
      </c>
      <c r="C228" s="3">
        <f t="shared" si="21"/>
        <v>9084.4500000000007</v>
      </c>
      <c r="D228" s="3">
        <f t="shared" si="18"/>
        <v>80865.33</v>
      </c>
      <c r="E228" s="3">
        <v>0</v>
      </c>
      <c r="F228" s="3">
        <f t="shared" si="19"/>
        <v>80865.33</v>
      </c>
      <c r="G228" s="3">
        <f t="shared" si="22"/>
        <v>71780.88</v>
      </c>
      <c r="H228" s="3">
        <f t="shared" si="23"/>
        <v>1372105.909999995</v>
      </c>
    </row>
    <row r="229" spans="1:8" x14ac:dyDescent="0.3">
      <c r="A229">
        <v>223</v>
      </c>
      <c r="B229" s="3">
        <f t="shared" si="20"/>
        <v>1372105.909999995</v>
      </c>
      <c r="C229" s="3">
        <f t="shared" si="21"/>
        <v>8632.83</v>
      </c>
      <c r="D229" s="3">
        <f t="shared" si="18"/>
        <v>80865.33</v>
      </c>
      <c r="E229" s="3">
        <v>0</v>
      </c>
      <c r="F229" s="3">
        <f t="shared" si="19"/>
        <v>80865.33</v>
      </c>
      <c r="G229" s="3">
        <f t="shared" si="22"/>
        <v>72232.5</v>
      </c>
      <c r="H229" s="3">
        <f t="shared" si="23"/>
        <v>1299873.409999995</v>
      </c>
    </row>
    <row r="230" spans="1:8" x14ac:dyDescent="0.3">
      <c r="A230">
        <v>224</v>
      </c>
      <c r="B230" s="3">
        <f t="shared" si="20"/>
        <v>1299873.409999995</v>
      </c>
      <c r="C230" s="3">
        <f t="shared" si="21"/>
        <v>8178.37</v>
      </c>
      <c r="D230" s="3">
        <f t="shared" si="18"/>
        <v>80865.33</v>
      </c>
      <c r="E230" s="3">
        <v>0</v>
      </c>
      <c r="F230" s="3">
        <f t="shared" si="19"/>
        <v>80865.33</v>
      </c>
      <c r="G230" s="3">
        <f t="shared" si="22"/>
        <v>72686.960000000006</v>
      </c>
      <c r="H230" s="3">
        <f t="shared" si="23"/>
        <v>1227186.4499999951</v>
      </c>
    </row>
    <row r="231" spans="1:8" x14ac:dyDescent="0.3">
      <c r="A231">
        <v>225</v>
      </c>
      <c r="B231" s="3">
        <f t="shared" si="20"/>
        <v>1227186.4499999951</v>
      </c>
      <c r="C231" s="3">
        <f t="shared" si="21"/>
        <v>7721.05</v>
      </c>
      <c r="D231" s="3">
        <f t="shared" si="18"/>
        <v>80865.33</v>
      </c>
      <c r="E231" s="3">
        <v>0</v>
      </c>
      <c r="F231" s="3">
        <f t="shared" si="19"/>
        <v>80865.33</v>
      </c>
      <c r="G231" s="3">
        <f t="shared" si="22"/>
        <v>73144.28</v>
      </c>
      <c r="H231" s="3">
        <f t="shared" si="23"/>
        <v>1154042.169999995</v>
      </c>
    </row>
    <row r="232" spans="1:8" x14ac:dyDescent="0.3">
      <c r="A232">
        <v>226</v>
      </c>
      <c r="B232" s="3">
        <f t="shared" si="20"/>
        <v>1154042.169999995</v>
      </c>
      <c r="C232" s="3">
        <f t="shared" si="21"/>
        <v>7260.85</v>
      </c>
      <c r="D232" s="3">
        <f t="shared" si="18"/>
        <v>80865.33</v>
      </c>
      <c r="E232" s="3">
        <v>0</v>
      </c>
      <c r="F232" s="3">
        <f t="shared" si="19"/>
        <v>80865.33</v>
      </c>
      <c r="G232" s="3">
        <f t="shared" si="22"/>
        <v>73604.479999999996</v>
      </c>
      <c r="H232" s="3">
        <f t="shared" si="23"/>
        <v>1080437.6899999951</v>
      </c>
    </row>
    <row r="233" spans="1:8" x14ac:dyDescent="0.3">
      <c r="A233">
        <v>227</v>
      </c>
      <c r="B233" s="3">
        <f t="shared" si="20"/>
        <v>1080437.6899999951</v>
      </c>
      <c r="C233" s="3">
        <f t="shared" si="21"/>
        <v>6797.75</v>
      </c>
      <c r="D233" s="3">
        <f t="shared" si="18"/>
        <v>80865.33</v>
      </c>
      <c r="E233" s="3">
        <v>0</v>
      </c>
      <c r="F233" s="3">
        <f t="shared" si="19"/>
        <v>80865.33</v>
      </c>
      <c r="G233" s="3">
        <f t="shared" si="22"/>
        <v>74067.58</v>
      </c>
      <c r="H233" s="3">
        <f t="shared" si="23"/>
        <v>1006370.1099999951</v>
      </c>
    </row>
    <row r="234" spans="1:8" x14ac:dyDescent="0.3">
      <c r="A234">
        <v>228</v>
      </c>
      <c r="B234" s="3">
        <f t="shared" si="20"/>
        <v>1006370.1099999951</v>
      </c>
      <c r="C234" s="3">
        <f t="shared" si="21"/>
        <v>6331.75</v>
      </c>
      <c r="D234" s="3">
        <f t="shared" si="18"/>
        <v>80865.33</v>
      </c>
      <c r="E234" s="3">
        <v>0</v>
      </c>
      <c r="F234" s="3">
        <f t="shared" si="19"/>
        <v>80865.33</v>
      </c>
      <c r="G234" s="3">
        <f t="shared" si="22"/>
        <v>74533.58</v>
      </c>
      <c r="H234" s="3">
        <f t="shared" si="23"/>
        <v>931836.52999999514</v>
      </c>
    </row>
    <row r="235" spans="1:8" x14ac:dyDescent="0.3">
      <c r="A235">
        <v>229</v>
      </c>
      <c r="B235" s="3">
        <f t="shared" si="20"/>
        <v>931836.52999999514</v>
      </c>
      <c r="C235" s="3">
        <f t="shared" si="21"/>
        <v>5862.8</v>
      </c>
      <c r="D235" s="3">
        <f t="shared" si="18"/>
        <v>80865.33</v>
      </c>
      <c r="E235" s="3">
        <v>0</v>
      </c>
      <c r="F235" s="3">
        <f t="shared" si="19"/>
        <v>80865.33</v>
      </c>
      <c r="G235" s="3">
        <f t="shared" si="22"/>
        <v>75002.53</v>
      </c>
      <c r="H235" s="3">
        <f t="shared" si="23"/>
        <v>856833.99999999511</v>
      </c>
    </row>
    <row r="236" spans="1:8" x14ac:dyDescent="0.3">
      <c r="A236">
        <v>230</v>
      </c>
      <c r="B236" s="3">
        <f t="shared" si="20"/>
        <v>856833.99999999511</v>
      </c>
      <c r="C236" s="3">
        <f t="shared" si="21"/>
        <v>5390.91</v>
      </c>
      <c r="D236" s="3">
        <f t="shared" si="18"/>
        <v>80865.33</v>
      </c>
      <c r="E236" s="3">
        <v>0</v>
      </c>
      <c r="F236" s="3">
        <f t="shared" si="19"/>
        <v>80865.33</v>
      </c>
      <c r="G236" s="3">
        <f t="shared" si="22"/>
        <v>75474.42</v>
      </c>
      <c r="H236" s="3">
        <f t="shared" si="23"/>
        <v>781359.57999999507</v>
      </c>
    </row>
    <row r="237" spans="1:8" x14ac:dyDescent="0.3">
      <c r="A237">
        <v>231</v>
      </c>
      <c r="B237" s="3">
        <f t="shared" si="20"/>
        <v>781359.57999999507</v>
      </c>
      <c r="C237" s="3">
        <f t="shared" si="21"/>
        <v>4916.05</v>
      </c>
      <c r="D237" s="3">
        <f t="shared" si="18"/>
        <v>80865.33</v>
      </c>
      <c r="E237" s="3">
        <v>0</v>
      </c>
      <c r="F237" s="3">
        <f t="shared" si="19"/>
        <v>80865.33</v>
      </c>
      <c r="G237" s="3">
        <f t="shared" si="22"/>
        <v>75949.279999999999</v>
      </c>
      <c r="H237" s="3">
        <f t="shared" si="23"/>
        <v>705410.29999999504</v>
      </c>
    </row>
    <row r="238" spans="1:8" x14ac:dyDescent="0.3">
      <c r="A238">
        <v>232</v>
      </c>
      <c r="B238" s="3">
        <f t="shared" si="20"/>
        <v>705410.29999999504</v>
      </c>
      <c r="C238" s="3">
        <f t="shared" si="21"/>
        <v>4438.21</v>
      </c>
      <c r="D238" s="3">
        <f t="shared" si="18"/>
        <v>80865.33</v>
      </c>
      <c r="E238" s="3">
        <v>0</v>
      </c>
      <c r="F238" s="3">
        <f t="shared" si="19"/>
        <v>80865.33</v>
      </c>
      <c r="G238" s="3">
        <f t="shared" si="22"/>
        <v>76427.12</v>
      </c>
      <c r="H238" s="3">
        <f t="shared" si="23"/>
        <v>628983.17999999505</v>
      </c>
    </row>
    <row r="239" spans="1:8" x14ac:dyDescent="0.3">
      <c r="A239">
        <v>233</v>
      </c>
      <c r="B239" s="3">
        <f t="shared" si="20"/>
        <v>628983.17999999505</v>
      </c>
      <c r="C239" s="3">
        <f t="shared" si="21"/>
        <v>3957.35</v>
      </c>
      <c r="D239" s="3">
        <f t="shared" si="18"/>
        <v>80865.33</v>
      </c>
      <c r="E239" s="3">
        <v>0</v>
      </c>
      <c r="F239" s="3">
        <f t="shared" si="19"/>
        <v>80865.33</v>
      </c>
      <c r="G239" s="3">
        <f t="shared" si="22"/>
        <v>76907.98</v>
      </c>
      <c r="H239" s="3">
        <f t="shared" si="23"/>
        <v>552075.19999999506</v>
      </c>
    </row>
    <row r="240" spans="1:8" x14ac:dyDescent="0.3">
      <c r="A240">
        <v>234</v>
      </c>
      <c r="B240" s="3">
        <f t="shared" si="20"/>
        <v>552075.19999999506</v>
      </c>
      <c r="C240" s="3">
        <f t="shared" si="21"/>
        <v>3473.47</v>
      </c>
      <c r="D240" s="3">
        <f t="shared" si="18"/>
        <v>80865.33</v>
      </c>
      <c r="E240" s="3">
        <v>0</v>
      </c>
      <c r="F240" s="3">
        <f t="shared" si="19"/>
        <v>80865.33</v>
      </c>
      <c r="G240" s="3">
        <f t="shared" si="22"/>
        <v>77391.86</v>
      </c>
      <c r="H240" s="3">
        <f t="shared" si="23"/>
        <v>474683.33999999508</v>
      </c>
    </row>
    <row r="241" spans="1:8" x14ac:dyDescent="0.3">
      <c r="A241">
        <v>235</v>
      </c>
      <c r="B241" s="3">
        <f t="shared" si="20"/>
        <v>474683.33999999508</v>
      </c>
      <c r="C241" s="3">
        <f t="shared" si="21"/>
        <v>2986.55</v>
      </c>
      <c r="D241" s="3">
        <f t="shared" si="18"/>
        <v>80865.33</v>
      </c>
      <c r="E241" s="3">
        <v>0</v>
      </c>
      <c r="F241" s="3">
        <f t="shared" si="19"/>
        <v>80865.33</v>
      </c>
      <c r="G241" s="3">
        <f t="shared" si="22"/>
        <v>77878.78</v>
      </c>
      <c r="H241" s="3">
        <f t="shared" si="23"/>
        <v>396804.55999999505</v>
      </c>
    </row>
    <row r="242" spans="1:8" x14ac:dyDescent="0.3">
      <c r="A242">
        <v>236</v>
      </c>
      <c r="B242" s="3">
        <f t="shared" si="20"/>
        <v>396804.55999999505</v>
      </c>
      <c r="C242" s="3">
        <f t="shared" si="21"/>
        <v>2496.56</v>
      </c>
      <c r="D242" s="3">
        <f t="shared" si="18"/>
        <v>80865.33</v>
      </c>
      <c r="E242" s="3">
        <v>0</v>
      </c>
      <c r="F242" s="3">
        <f t="shared" si="19"/>
        <v>80865.33</v>
      </c>
      <c r="G242" s="3">
        <f t="shared" si="22"/>
        <v>78368.77</v>
      </c>
      <c r="H242" s="3">
        <f t="shared" si="23"/>
        <v>318435.78999999503</v>
      </c>
    </row>
    <row r="243" spans="1:8" x14ac:dyDescent="0.3">
      <c r="A243">
        <v>237</v>
      </c>
      <c r="B243" s="3">
        <f t="shared" si="20"/>
        <v>318435.78999999503</v>
      </c>
      <c r="C243" s="3">
        <f t="shared" si="21"/>
        <v>2003.49</v>
      </c>
      <c r="D243" s="3">
        <f t="shared" si="18"/>
        <v>80865.33</v>
      </c>
      <c r="E243" s="3">
        <v>0</v>
      </c>
      <c r="F243" s="3">
        <f t="shared" si="19"/>
        <v>80865.33</v>
      </c>
      <c r="G243" s="3">
        <f t="shared" si="22"/>
        <v>78861.84</v>
      </c>
      <c r="H243" s="3">
        <f t="shared" si="23"/>
        <v>239573.94999999503</v>
      </c>
    </row>
    <row r="244" spans="1:8" x14ac:dyDescent="0.3">
      <c r="A244">
        <v>238</v>
      </c>
      <c r="B244" s="3">
        <f t="shared" si="20"/>
        <v>239573.94999999503</v>
      </c>
      <c r="C244" s="3">
        <f t="shared" si="21"/>
        <v>1507.32</v>
      </c>
      <c r="D244" s="3">
        <f t="shared" si="18"/>
        <v>80865.33</v>
      </c>
      <c r="E244" s="3">
        <v>0</v>
      </c>
      <c r="F244" s="3">
        <f t="shared" si="19"/>
        <v>80865.33</v>
      </c>
      <c r="G244" s="3">
        <f t="shared" si="22"/>
        <v>79358.009999999995</v>
      </c>
      <c r="H244" s="3">
        <f t="shared" si="23"/>
        <v>160215.93999999505</v>
      </c>
    </row>
    <row r="245" spans="1:8" x14ac:dyDescent="0.3">
      <c r="A245">
        <v>239</v>
      </c>
      <c r="B245" s="3">
        <f t="shared" si="20"/>
        <v>160215.93999999505</v>
      </c>
      <c r="C245" s="3">
        <f t="shared" si="21"/>
        <v>1008.03</v>
      </c>
      <c r="D245" s="3">
        <f t="shared" si="18"/>
        <v>80865.33</v>
      </c>
      <c r="E245" s="3">
        <v>0</v>
      </c>
      <c r="F245" s="3">
        <f t="shared" si="19"/>
        <v>80865.33</v>
      </c>
      <c r="G245" s="3">
        <f t="shared" si="22"/>
        <v>79857.3</v>
      </c>
      <c r="H245" s="3">
        <f t="shared" si="23"/>
        <v>80358.639999995052</v>
      </c>
    </row>
    <row r="246" spans="1:8" x14ac:dyDescent="0.3">
      <c r="A246">
        <v>240</v>
      </c>
      <c r="B246" s="3">
        <f t="shared" si="20"/>
        <v>80358.639999995052</v>
      </c>
      <c r="C246" s="3">
        <f t="shared" si="21"/>
        <v>505.59</v>
      </c>
      <c r="D246" s="3">
        <f>$E$1</f>
        <v>80865.33</v>
      </c>
      <c r="E246" s="3">
        <v>0</v>
      </c>
      <c r="F246" s="3">
        <f t="shared" si="19"/>
        <v>80865.33</v>
      </c>
      <c r="G246" s="3">
        <f t="shared" si="22"/>
        <v>80358.639999995052</v>
      </c>
      <c r="H246" s="3">
        <f t="shared" si="23"/>
        <v>0</v>
      </c>
    </row>
    <row r="247" spans="1:8" x14ac:dyDescent="0.3">
      <c r="A247">
        <v>241</v>
      </c>
      <c r="B247" s="3">
        <f t="shared" si="20"/>
        <v>0</v>
      </c>
      <c r="C247" s="3">
        <f t="shared" si="21"/>
        <v>0</v>
      </c>
      <c r="D247" s="3">
        <f t="shared" si="18"/>
        <v>80865.33</v>
      </c>
      <c r="E247" s="3">
        <v>0</v>
      </c>
      <c r="F247" s="3">
        <f t="shared" si="19"/>
        <v>80865.33</v>
      </c>
      <c r="G247" s="3">
        <f t="shared" si="22"/>
        <v>0</v>
      </c>
      <c r="H247" s="3">
        <f t="shared" si="23"/>
        <v>0</v>
      </c>
    </row>
    <row r="248" spans="1:8" x14ac:dyDescent="0.3">
      <c r="A248">
        <v>242</v>
      </c>
      <c r="B248" s="3">
        <f t="shared" si="20"/>
        <v>0</v>
      </c>
      <c r="C248" s="3">
        <f t="shared" si="21"/>
        <v>0</v>
      </c>
      <c r="D248" s="3">
        <f t="shared" si="18"/>
        <v>80865.33</v>
      </c>
      <c r="E248" s="3">
        <v>0</v>
      </c>
      <c r="F248" s="3">
        <f t="shared" si="19"/>
        <v>80865.33</v>
      </c>
      <c r="G248" s="3">
        <f t="shared" si="22"/>
        <v>0</v>
      </c>
      <c r="H248" s="3">
        <f t="shared" si="23"/>
        <v>0</v>
      </c>
    </row>
    <row r="249" spans="1:8" x14ac:dyDescent="0.3">
      <c r="A249">
        <v>243</v>
      </c>
      <c r="B249" s="3">
        <f t="shared" si="20"/>
        <v>0</v>
      </c>
      <c r="C249" s="3">
        <f t="shared" si="21"/>
        <v>0</v>
      </c>
      <c r="D249" s="3">
        <f t="shared" si="18"/>
        <v>80865.33</v>
      </c>
      <c r="E249" s="3">
        <v>0</v>
      </c>
      <c r="F249" s="3">
        <f t="shared" si="19"/>
        <v>80865.33</v>
      </c>
      <c r="G249" s="3">
        <f t="shared" si="22"/>
        <v>0</v>
      </c>
      <c r="H249" s="3">
        <f t="shared" si="23"/>
        <v>0</v>
      </c>
    </row>
    <row r="250" spans="1:8" x14ac:dyDescent="0.3">
      <c r="A250">
        <v>244</v>
      </c>
      <c r="B250" s="3">
        <f t="shared" si="20"/>
        <v>0</v>
      </c>
      <c r="C250" s="3">
        <f t="shared" si="21"/>
        <v>0</v>
      </c>
      <c r="D250" s="3">
        <f t="shared" si="18"/>
        <v>80865.33</v>
      </c>
      <c r="E250" s="3">
        <v>0</v>
      </c>
      <c r="F250" s="3">
        <f t="shared" si="19"/>
        <v>80865.33</v>
      </c>
      <c r="G250" s="3">
        <f t="shared" si="22"/>
        <v>0</v>
      </c>
      <c r="H250" s="3">
        <f t="shared" si="23"/>
        <v>0</v>
      </c>
    </row>
    <row r="251" spans="1:8" x14ac:dyDescent="0.3">
      <c r="A251">
        <v>245</v>
      </c>
      <c r="B251" s="3">
        <f t="shared" si="20"/>
        <v>0</v>
      </c>
      <c r="C251" s="3">
        <f t="shared" si="21"/>
        <v>0</v>
      </c>
      <c r="D251" s="3">
        <f t="shared" si="18"/>
        <v>80865.33</v>
      </c>
      <c r="E251" s="3">
        <v>0</v>
      </c>
      <c r="F251" s="3">
        <f t="shared" si="19"/>
        <v>80865.33</v>
      </c>
      <c r="G251" s="3">
        <f t="shared" si="22"/>
        <v>0</v>
      </c>
      <c r="H251" s="3">
        <f t="shared" si="23"/>
        <v>0</v>
      </c>
    </row>
    <row r="252" spans="1:8" x14ac:dyDescent="0.3">
      <c r="A252">
        <v>246</v>
      </c>
      <c r="B252" s="3">
        <f t="shared" si="20"/>
        <v>0</v>
      </c>
      <c r="C252" s="3">
        <f t="shared" si="21"/>
        <v>0</v>
      </c>
      <c r="D252" s="3">
        <f t="shared" si="18"/>
        <v>80865.33</v>
      </c>
      <c r="E252" s="3">
        <v>0</v>
      </c>
      <c r="F252" s="3">
        <f t="shared" si="19"/>
        <v>80865.33</v>
      </c>
      <c r="G252" s="3">
        <f t="shared" si="22"/>
        <v>0</v>
      </c>
      <c r="H252" s="3">
        <f t="shared" si="23"/>
        <v>0</v>
      </c>
    </row>
    <row r="253" spans="1:8" x14ac:dyDescent="0.3">
      <c r="A253">
        <v>247</v>
      </c>
      <c r="B253" s="3">
        <f t="shared" si="20"/>
        <v>0</v>
      </c>
      <c r="C253" s="3">
        <f t="shared" si="21"/>
        <v>0</v>
      </c>
      <c r="D253" s="3">
        <f t="shared" si="18"/>
        <v>80865.33</v>
      </c>
      <c r="E253" s="3">
        <v>0</v>
      </c>
      <c r="F253" s="3">
        <f t="shared" si="19"/>
        <v>80865.33</v>
      </c>
      <c r="G253" s="3">
        <f t="shared" si="22"/>
        <v>0</v>
      </c>
      <c r="H253" s="3">
        <f t="shared" si="23"/>
        <v>0</v>
      </c>
    </row>
    <row r="254" spans="1:8" x14ac:dyDescent="0.3">
      <c r="A254">
        <v>248</v>
      </c>
      <c r="B254" s="3">
        <f t="shared" si="20"/>
        <v>0</v>
      </c>
      <c r="C254" s="3">
        <f t="shared" si="21"/>
        <v>0</v>
      </c>
      <c r="D254" s="3">
        <f t="shared" si="18"/>
        <v>80865.33</v>
      </c>
      <c r="E254" s="3">
        <v>0</v>
      </c>
      <c r="F254" s="3">
        <f t="shared" si="19"/>
        <v>80865.33</v>
      </c>
      <c r="G254" s="3">
        <f t="shared" si="22"/>
        <v>0</v>
      </c>
      <c r="H254" s="3">
        <f t="shared" si="23"/>
        <v>0</v>
      </c>
    </row>
    <row r="255" spans="1:8" x14ac:dyDescent="0.3">
      <c r="A255">
        <v>249</v>
      </c>
      <c r="B255" s="3">
        <f t="shared" si="20"/>
        <v>0</v>
      </c>
      <c r="C255" s="3">
        <f t="shared" si="21"/>
        <v>0</v>
      </c>
      <c r="D255" s="3">
        <f t="shared" si="18"/>
        <v>80865.33</v>
      </c>
      <c r="E255" s="3">
        <v>0</v>
      </c>
      <c r="F255" s="3">
        <f t="shared" si="19"/>
        <v>80865.33</v>
      </c>
      <c r="G255" s="3">
        <f t="shared" si="22"/>
        <v>0</v>
      </c>
      <c r="H255" s="3">
        <f t="shared" si="23"/>
        <v>0</v>
      </c>
    </row>
    <row r="256" spans="1:8" x14ac:dyDescent="0.3">
      <c r="A256">
        <v>250</v>
      </c>
      <c r="B256" s="3">
        <f t="shared" si="20"/>
        <v>0</v>
      </c>
      <c r="C256" s="3">
        <f t="shared" si="21"/>
        <v>0</v>
      </c>
      <c r="D256" s="3">
        <f t="shared" si="18"/>
        <v>80865.33</v>
      </c>
      <c r="E256" s="3">
        <v>0</v>
      </c>
      <c r="F256" s="3">
        <f t="shared" si="19"/>
        <v>80865.33</v>
      </c>
      <c r="G256" s="3">
        <f t="shared" si="22"/>
        <v>0</v>
      </c>
      <c r="H256" s="3">
        <f t="shared" si="23"/>
        <v>0</v>
      </c>
    </row>
    <row r="257" spans="1:8" x14ac:dyDescent="0.3">
      <c r="A257">
        <v>251</v>
      </c>
      <c r="B257" s="3">
        <f t="shared" si="20"/>
        <v>0</v>
      </c>
      <c r="C257" s="3">
        <f t="shared" si="21"/>
        <v>0</v>
      </c>
      <c r="D257" s="3">
        <f t="shared" si="18"/>
        <v>80865.33</v>
      </c>
      <c r="E257" s="3">
        <v>0</v>
      </c>
      <c r="F257" s="3">
        <f t="shared" si="19"/>
        <v>80865.33</v>
      </c>
      <c r="G257" s="3">
        <f t="shared" si="22"/>
        <v>0</v>
      </c>
      <c r="H257" s="3">
        <f t="shared" si="23"/>
        <v>0</v>
      </c>
    </row>
    <row r="258" spans="1:8" x14ac:dyDescent="0.3">
      <c r="A258">
        <v>252</v>
      </c>
      <c r="B258" s="3">
        <f t="shared" si="20"/>
        <v>0</v>
      </c>
      <c r="C258" s="3">
        <f t="shared" si="21"/>
        <v>0</v>
      </c>
      <c r="D258" s="3">
        <f t="shared" si="18"/>
        <v>80865.33</v>
      </c>
      <c r="E258" s="3">
        <v>0</v>
      </c>
      <c r="F258" s="3">
        <f t="shared" si="19"/>
        <v>80865.33</v>
      </c>
      <c r="G258" s="3">
        <f t="shared" si="22"/>
        <v>0</v>
      </c>
      <c r="H258" s="3">
        <f t="shared" si="23"/>
        <v>0</v>
      </c>
    </row>
    <row r="259" spans="1:8" x14ac:dyDescent="0.3">
      <c r="A259">
        <v>253</v>
      </c>
      <c r="B259" s="3">
        <f t="shared" si="20"/>
        <v>0</v>
      </c>
      <c r="C259" s="3">
        <f t="shared" si="21"/>
        <v>0</v>
      </c>
      <c r="D259" s="3">
        <f t="shared" si="18"/>
        <v>80865.33</v>
      </c>
      <c r="E259" s="3">
        <v>0</v>
      </c>
      <c r="F259" s="3">
        <f t="shared" si="19"/>
        <v>80865.33</v>
      </c>
      <c r="G259" s="3">
        <f t="shared" si="22"/>
        <v>0</v>
      </c>
      <c r="H259" s="3">
        <f t="shared" si="23"/>
        <v>0</v>
      </c>
    </row>
    <row r="260" spans="1:8" x14ac:dyDescent="0.3">
      <c r="A260">
        <v>254</v>
      </c>
      <c r="B260" s="3">
        <f t="shared" si="20"/>
        <v>0</v>
      </c>
      <c r="C260" s="3">
        <f t="shared" si="21"/>
        <v>0</v>
      </c>
      <c r="D260" s="3">
        <f t="shared" si="18"/>
        <v>80865.33</v>
      </c>
      <c r="E260" s="3">
        <v>0</v>
      </c>
      <c r="F260" s="3">
        <f t="shared" si="19"/>
        <v>80865.33</v>
      </c>
      <c r="G260" s="3">
        <f t="shared" si="22"/>
        <v>0</v>
      </c>
      <c r="H260" s="3">
        <f t="shared" si="23"/>
        <v>0</v>
      </c>
    </row>
    <row r="261" spans="1:8" x14ac:dyDescent="0.3">
      <c r="A261">
        <v>255</v>
      </c>
      <c r="B261" s="3">
        <f t="shared" si="20"/>
        <v>0</v>
      </c>
      <c r="C261" s="3">
        <f t="shared" si="21"/>
        <v>0</v>
      </c>
      <c r="D261" s="3">
        <f t="shared" si="18"/>
        <v>80865.33</v>
      </c>
      <c r="E261" s="3">
        <v>0</v>
      </c>
      <c r="F261" s="3">
        <f t="shared" si="19"/>
        <v>80865.33</v>
      </c>
      <c r="G261" s="3">
        <f t="shared" si="22"/>
        <v>0</v>
      </c>
      <c r="H261" s="3">
        <f t="shared" si="23"/>
        <v>0</v>
      </c>
    </row>
    <row r="262" spans="1:8" x14ac:dyDescent="0.3">
      <c r="A262">
        <v>256</v>
      </c>
      <c r="B262" s="3">
        <f t="shared" si="20"/>
        <v>0</v>
      </c>
      <c r="C262" s="3">
        <f t="shared" si="21"/>
        <v>0</v>
      </c>
      <c r="D262" s="3">
        <f t="shared" si="18"/>
        <v>80865.33</v>
      </c>
      <c r="E262" s="3">
        <v>0</v>
      </c>
      <c r="F262" s="3">
        <f t="shared" si="19"/>
        <v>80865.33</v>
      </c>
      <c r="G262" s="3">
        <f t="shared" si="22"/>
        <v>0</v>
      </c>
      <c r="H262" s="3">
        <f t="shared" si="23"/>
        <v>0</v>
      </c>
    </row>
    <row r="263" spans="1:8" x14ac:dyDescent="0.3">
      <c r="A263">
        <v>257</v>
      </c>
      <c r="B263" s="3">
        <f t="shared" si="20"/>
        <v>0</v>
      </c>
      <c r="C263" s="3">
        <f t="shared" si="21"/>
        <v>0</v>
      </c>
      <c r="D263" s="3">
        <f t="shared" ref="D263:D326" si="24">$E$1</f>
        <v>80865.33</v>
      </c>
      <c r="E263" s="3">
        <v>0</v>
      </c>
      <c r="F263" s="3">
        <f t="shared" ref="F263:F326" si="25">D263+E263</f>
        <v>80865.33</v>
      </c>
      <c r="G263" s="3">
        <f t="shared" si="22"/>
        <v>0</v>
      </c>
      <c r="H263" s="3">
        <f t="shared" si="23"/>
        <v>0</v>
      </c>
    </row>
    <row r="264" spans="1:8" x14ac:dyDescent="0.3">
      <c r="A264">
        <v>258</v>
      </c>
      <c r="B264" s="3">
        <f t="shared" ref="B264:B327" si="26">H263</f>
        <v>0</v>
      </c>
      <c r="C264" s="3">
        <f t="shared" ref="C264:C327" si="27">ROUND(B264*($B$2/12/100), 2)</f>
        <v>0</v>
      </c>
      <c r="D264" s="3">
        <f t="shared" si="24"/>
        <v>80865.33</v>
      </c>
      <c r="E264" s="3">
        <v>0</v>
      </c>
      <c r="F264" s="3">
        <f t="shared" si="25"/>
        <v>80865.33</v>
      </c>
      <c r="G264" s="3">
        <f t="shared" ref="G264:G327" si="28">MIN(B264, F264-C264)</f>
        <v>0</v>
      </c>
      <c r="H264" s="3">
        <f t="shared" ref="H264:H327" si="29">MAX(0, B264-G264)</f>
        <v>0</v>
      </c>
    </row>
    <row r="265" spans="1:8" x14ac:dyDescent="0.3">
      <c r="A265">
        <v>259</v>
      </c>
      <c r="B265" s="3">
        <f t="shared" si="26"/>
        <v>0</v>
      </c>
      <c r="C265" s="3">
        <f t="shared" si="27"/>
        <v>0</v>
      </c>
      <c r="D265" s="3">
        <f t="shared" si="24"/>
        <v>80865.33</v>
      </c>
      <c r="E265" s="3">
        <v>0</v>
      </c>
      <c r="F265" s="3">
        <f t="shared" si="25"/>
        <v>80865.33</v>
      </c>
      <c r="G265" s="3">
        <f t="shared" si="28"/>
        <v>0</v>
      </c>
      <c r="H265" s="3">
        <f t="shared" si="29"/>
        <v>0</v>
      </c>
    </row>
    <row r="266" spans="1:8" x14ac:dyDescent="0.3">
      <c r="A266">
        <v>260</v>
      </c>
      <c r="B266" s="3">
        <f t="shared" si="26"/>
        <v>0</v>
      </c>
      <c r="C266" s="3">
        <f t="shared" si="27"/>
        <v>0</v>
      </c>
      <c r="D266" s="3">
        <f t="shared" si="24"/>
        <v>80865.33</v>
      </c>
      <c r="E266" s="3">
        <v>0</v>
      </c>
      <c r="F266" s="3">
        <f t="shared" si="25"/>
        <v>80865.33</v>
      </c>
      <c r="G266" s="3">
        <f t="shared" si="28"/>
        <v>0</v>
      </c>
      <c r="H266" s="3">
        <f t="shared" si="29"/>
        <v>0</v>
      </c>
    </row>
    <row r="267" spans="1:8" x14ac:dyDescent="0.3">
      <c r="A267">
        <v>261</v>
      </c>
      <c r="B267" s="3">
        <f t="shared" si="26"/>
        <v>0</v>
      </c>
      <c r="C267" s="3">
        <f t="shared" si="27"/>
        <v>0</v>
      </c>
      <c r="D267" s="3">
        <f t="shared" si="24"/>
        <v>80865.33</v>
      </c>
      <c r="E267" s="3">
        <v>0</v>
      </c>
      <c r="F267" s="3">
        <f t="shared" si="25"/>
        <v>80865.33</v>
      </c>
      <c r="G267" s="3">
        <f t="shared" si="28"/>
        <v>0</v>
      </c>
      <c r="H267" s="3">
        <f t="shared" si="29"/>
        <v>0</v>
      </c>
    </row>
    <row r="268" spans="1:8" x14ac:dyDescent="0.3">
      <c r="A268">
        <v>262</v>
      </c>
      <c r="B268" s="3">
        <f t="shared" si="26"/>
        <v>0</v>
      </c>
      <c r="C268" s="3">
        <f t="shared" si="27"/>
        <v>0</v>
      </c>
      <c r="D268" s="3">
        <f t="shared" si="24"/>
        <v>80865.33</v>
      </c>
      <c r="E268" s="3">
        <v>0</v>
      </c>
      <c r="F268" s="3">
        <f t="shared" si="25"/>
        <v>80865.33</v>
      </c>
      <c r="G268" s="3">
        <f t="shared" si="28"/>
        <v>0</v>
      </c>
      <c r="H268" s="3">
        <f t="shared" si="29"/>
        <v>0</v>
      </c>
    </row>
    <row r="269" spans="1:8" x14ac:dyDescent="0.3">
      <c r="A269">
        <v>263</v>
      </c>
      <c r="B269" s="3">
        <f t="shared" si="26"/>
        <v>0</v>
      </c>
      <c r="C269" s="3">
        <f t="shared" si="27"/>
        <v>0</v>
      </c>
      <c r="D269" s="3">
        <f t="shared" si="24"/>
        <v>80865.33</v>
      </c>
      <c r="E269" s="3">
        <v>0</v>
      </c>
      <c r="F269" s="3">
        <f t="shared" si="25"/>
        <v>80865.33</v>
      </c>
      <c r="G269" s="3">
        <f t="shared" si="28"/>
        <v>0</v>
      </c>
      <c r="H269" s="3">
        <f t="shared" si="29"/>
        <v>0</v>
      </c>
    </row>
    <row r="270" spans="1:8" x14ac:dyDescent="0.3">
      <c r="A270">
        <v>264</v>
      </c>
      <c r="B270" s="3">
        <f t="shared" si="26"/>
        <v>0</v>
      </c>
      <c r="C270" s="3">
        <f t="shared" si="27"/>
        <v>0</v>
      </c>
      <c r="D270" s="3">
        <f t="shared" si="24"/>
        <v>80865.33</v>
      </c>
      <c r="E270" s="3">
        <v>0</v>
      </c>
      <c r="F270" s="3">
        <f t="shared" si="25"/>
        <v>80865.33</v>
      </c>
      <c r="G270" s="3">
        <f t="shared" si="28"/>
        <v>0</v>
      </c>
      <c r="H270" s="3">
        <f t="shared" si="29"/>
        <v>0</v>
      </c>
    </row>
    <row r="271" spans="1:8" x14ac:dyDescent="0.3">
      <c r="A271">
        <v>265</v>
      </c>
      <c r="B271" s="3">
        <f t="shared" si="26"/>
        <v>0</v>
      </c>
      <c r="C271" s="3">
        <f t="shared" si="27"/>
        <v>0</v>
      </c>
      <c r="D271" s="3">
        <f t="shared" si="24"/>
        <v>80865.33</v>
      </c>
      <c r="E271" s="3">
        <v>0</v>
      </c>
      <c r="F271" s="3">
        <f t="shared" si="25"/>
        <v>80865.33</v>
      </c>
      <c r="G271" s="3">
        <f t="shared" si="28"/>
        <v>0</v>
      </c>
      <c r="H271" s="3">
        <f t="shared" si="29"/>
        <v>0</v>
      </c>
    </row>
    <row r="272" spans="1:8" x14ac:dyDescent="0.3">
      <c r="A272">
        <v>266</v>
      </c>
      <c r="B272" s="3">
        <f t="shared" si="26"/>
        <v>0</v>
      </c>
      <c r="C272" s="3">
        <f t="shared" si="27"/>
        <v>0</v>
      </c>
      <c r="D272" s="3">
        <f t="shared" si="24"/>
        <v>80865.33</v>
      </c>
      <c r="E272" s="3">
        <v>0</v>
      </c>
      <c r="F272" s="3">
        <f t="shared" si="25"/>
        <v>80865.33</v>
      </c>
      <c r="G272" s="3">
        <f t="shared" si="28"/>
        <v>0</v>
      </c>
      <c r="H272" s="3">
        <f t="shared" si="29"/>
        <v>0</v>
      </c>
    </row>
    <row r="273" spans="1:8" x14ac:dyDescent="0.3">
      <c r="A273">
        <v>267</v>
      </c>
      <c r="B273" s="3">
        <f t="shared" si="26"/>
        <v>0</v>
      </c>
      <c r="C273" s="3">
        <f t="shared" si="27"/>
        <v>0</v>
      </c>
      <c r="D273" s="3">
        <f t="shared" si="24"/>
        <v>80865.33</v>
      </c>
      <c r="E273" s="3">
        <v>0</v>
      </c>
      <c r="F273" s="3">
        <f t="shared" si="25"/>
        <v>80865.33</v>
      </c>
      <c r="G273" s="3">
        <f t="shared" si="28"/>
        <v>0</v>
      </c>
      <c r="H273" s="3">
        <f t="shared" si="29"/>
        <v>0</v>
      </c>
    </row>
    <row r="274" spans="1:8" x14ac:dyDescent="0.3">
      <c r="A274">
        <v>268</v>
      </c>
      <c r="B274" s="3">
        <f t="shared" si="26"/>
        <v>0</v>
      </c>
      <c r="C274" s="3">
        <f t="shared" si="27"/>
        <v>0</v>
      </c>
      <c r="D274" s="3">
        <f t="shared" si="24"/>
        <v>80865.33</v>
      </c>
      <c r="E274" s="3">
        <v>0</v>
      </c>
      <c r="F274" s="3">
        <f t="shared" si="25"/>
        <v>80865.33</v>
      </c>
      <c r="G274" s="3">
        <f t="shared" si="28"/>
        <v>0</v>
      </c>
      <c r="H274" s="3">
        <f t="shared" si="29"/>
        <v>0</v>
      </c>
    </row>
    <row r="275" spans="1:8" x14ac:dyDescent="0.3">
      <c r="A275">
        <v>269</v>
      </c>
      <c r="B275" s="3">
        <f t="shared" si="26"/>
        <v>0</v>
      </c>
      <c r="C275" s="3">
        <f t="shared" si="27"/>
        <v>0</v>
      </c>
      <c r="D275" s="3">
        <f t="shared" si="24"/>
        <v>80865.33</v>
      </c>
      <c r="E275" s="3">
        <v>0</v>
      </c>
      <c r="F275" s="3">
        <f t="shared" si="25"/>
        <v>80865.33</v>
      </c>
      <c r="G275" s="3">
        <f t="shared" si="28"/>
        <v>0</v>
      </c>
      <c r="H275" s="3">
        <f t="shared" si="29"/>
        <v>0</v>
      </c>
    </row>
    <row r="276" spans="1:8" x14ac:dyDescent="0.3">
      <c r="A276">
        <v>270</v>
      </c>
      <c r="B276" s="3">
        <f t="shared" si="26"/>
        <v>0</v>
      </c>
      <c r="C276" s="3">
        <f t="shared" si="27"/>
        <v>0</v>
      </c>
      <c r="D276" s="3">
        <f t="shared" si="24"/>
        <v>80865.33</v>
      </c>
      <c r="E276" s="3">
        <v>0</v>
      </c>
      <c r="F276" s="3">
        <f t="shared" si="25"/>
        <v>80865.33</v>
      </c>
      <c r="G276" s="3">
        <f t="shared" si="28"/>
        <v>0</v>
      </c>
      <c r="H276" s="3">
        <f t="shared" si="29"/>
        <v>0</v>
      </c>
    </row>
    <row r="277" spans="1:8" x14ac:dyDescent="0.3">
      <c r="A277">
        <v>271</v>
      </c>
      <c r="B277" s="3">
        <f t="shared" si="26"/>
        <v>0</v>
      </c>
      <c r="C277" s="3">
        <f t="shared" si="27"/>
        <v>0</v>
      </c>
      <c r="D277" s="3">
        <f t="shared" si="24"/>
        <v>80865.33</v>
      </c>
      <c r="E277" s="3">
        <v>0</v>
      </c>
      <c r="F277" s="3">
        <f t="shared" si="25"/>
        <v>80865.33</v>
      </c>
      <c r="G277" s="3">
        <f t="shared" si="28"/>
        <v>0</v>
      </c>
      <c r="H277" s="3">
        <f t="shared" si="29"/>
        <v>0</v>
      </c>
    </row>
    <row r="278" spans="1:8" x14ac:dyDescent="0.3">
      <c r="A278">
        <v>272</v>
      </c>
      <c r="B278" s="3">
        <f t="shared" si="26"/>
        <v>0</v>
      </c>
      <c r="C278" s="3">
        <f t="shared" si="27"/>
        <v>0</v>
      </c>
      <c r="D278" s="3">
        <f t="shared" si="24"/>
        <v>80865.33</v>
      </c>
      <c r="E278" s="3">
        <v>0</v>
      </c>
      <c r="F278" s="3">
        <f t="shared" si="25"/>
        <v>80865.33</v>
      </c>
      <c r="G278" s="3">
        <f t="shared" si="28"/>
        <v>0</v>
      </c>
      <c r="H278" s="3">
        <f t="shared" si="29"/>
        <v>0</v>
      </c>
    </row>
    <row r="279" spans="1:8" x14ac:dyDescent="0.3">
      <c r="A279">
        <v>273</v>
      </c>
      <c r="B279" s="3">
        <f t="shared" si="26"/>
        <v>0</v>
      </c>
      <c r="C279" s="3">
        <f t="shared" si="27"/>
        <v>0</v>
      </c>
      <c r="D279" s="3">
        <f t="shared" si="24"/>
        <v>80865.33</v>
      </c>
      <c r="E279" s="3">
        <v>0</v>
      </c>
      <c r="F279" s="3">
        <f t="shared" si="25"/>
        <v>80865.33</v>
      </c>
      <c r="G279" s="3">
        <f t="shared" si="28"/>
        <v>0</v>
      </c>
      <c r="H279" s="3">
        <f t="shared" si="29"/>
        <v>0</v>
      </c>
    </row>
    <row r="280" spans="1:8" x14ac:dyDescent="0.3">
      <c r="A280">
        <v>274</v>
      </c>
      <c r="B280" s="3">
        <f t="shared" si="26"/>
        <v>0</v>
      </c>
      <c r="C280" s="3">
        <f t="shared" si="27"/>
        <v>0</v>
      </c>
      <c r="D280" s="3">
        <f t="shared" si="24"/>
        <v>80865.33</v>
      </c>
      <c r="E280" s="3">
        <v>0</v>
      </c>
      <c r="F280" s="3">
        <f t="shared" si="25"/>
        <v>80865.33</v>
      </c>
      <c r="G280" s="3">
        <f t="shared" si="28"/>
        <v>0</v>
      </c>
      <c r="H280" s="3">
        <f t="shared" si="29"/>
        <v>0</v>
      </c>
    </row>
    <row r="281" spans="1:8" x14ac:dyDescent="0.3">
      <c r="A281">
        <v>275</v>
      </c>
      <c r="B281" s="3">
        <f t="shared" si="26"/>
        <v>0</v>
      </c>
      <c r="C281" s="3">
        <f t="shared" si="27"/>
        <v>0</v>
      </c>
      <c r="D281" s="3">
        <f t="shared" si="24"/>
        <v>80865.33</v>
      </c>
      <c r="E281" s="3">
        <v>0</v>
      </c>
      <c r="F281" s="3">
        <f t="shared" si="25"/>
        <v>80865.33</v>
      </c>
      <c r="G281" s="3">
        <f t="shared" si="28"/>
        <v>0</v>
      </c>
      <c r="H281" s="3">
        <f t="shared" si="29"/>
        <v>0</v>
      </c>
    </row>
    <row r="282" spans="1:8" x14ac:dyDescent="0.3">
      <c r="A282">
        <v>276</v>
      </c>
      <c r="B282" s="3">
        <f t="shared" si="26"/>
        <v>0</v>
      </c>
      <c r="C282" s="3">
        <f t="shared" si="27"/>
        <v>0</v>
      </c>
      <c r="D282" s="3">
        <f t="shared" si="24"/>
        <v>80865.33</v>
      </c>
      <c r="E282" s="3">
        <v>0</v>
      </c>
      <c r="F282" s="3">
        <f t="shared" si="25"/>
        <v>80865.33</v>
      </c>
      <c r="G282" s="3">
        <f t="shared" si="28"/>
        <v>0</v>
      </c>
      <c r="H282" s="3">
        <f t="shared" si="29"/>
        <v>0</v>
      </c>
    </row>
    <row r="283" spans="1:8" x14ac:dyDescent="0.3">
      <c r="A283">
        <v>277</v>
      </c>
      <c r="B283" s="3">
        <f t="shared" si="26"/>
        <v>0</v>
      </c>
      <c r="C283" s="3">
        <f t="shared" si="27"/>
        <v>0</v>
      </c>
      <c r="D283" s="3">
        <f t="shared" si="24"/>
        <v>80865.33</v>
      </c>
      <c r="E283" s="3">
        <v>0</v>
      </c>
      <c r="F283" s="3">
        <f t="shared" si="25"/>
        <v>80865.33</v>
      </c>
      <c r="G283" s="3">
        <f t="shared" si="28"/>
        <v>0</v>
      </c>
      <c r="H283" s="3">
        <f t="shared" si="29"/>
        <v>0</v>
      </c>
    </row>
    <row r="284" spans="1:8" x14ac:dyDescent="0.3">
      <c r="A284">
        <v>278</v>
      </c>
      <c r="B284" s="3">
        <f t="shared" si="26"/>
        <v>0</v>
      </c>
      <c r="C284" s="3">
        <f t="shared" si="27"/>
        <v>0</v>
      </c>
      <c r="D284" s="3">
        <f t="shared" si="24"/>
        <v>80865.33</v>
      </c>
      <c r="E284" s="3">
        <v>0</v>
      </c>
      <c r="F284" s="3">
        <f t="shared" si="25"/>
        <v>80865.33</v>
      </c>
      <c r="G284" s="3">
        <f t="shared" si="28"/>
        <v>0</v>
      </c>
      <c r="H284" s="3">
        <f t="shared" si="29"/>
        <v>0</v>
      </c>
    </row>
    <row r="285" spans="1:8" x14ac:dyDescent="0.3">
      <c r="A285">
        <v>279</v>
      </c>
      <c r="B285" s="3">
        <f t="shared" si="26"/>
        <v>0</v>
      </c>
      <c r="C285" s="3">
        <f t="shared" si="27"/>
        <v>0</v>
      </c>
      <c r="D285" s="3">
        <f t="shared" si="24"/>
        <v>80865.33</v>
      </c>
      <c r="E285" s="3">
        <v>0</v>
      </c>
      <c r="F285" s="3">
        <f t="shared" si="25"/>
        <v>80865.33</v>
      </c>
      <c r="G285" s="3">
        <f t="shared" si="28"/>
        <v>0</v>
      </c>
      <c r="H285" s="3">
        <f t="shared" si="29"/>
        <v>0</v>
      </c>
    </row>
    <row r="286" spans="1:8" x14ac:dyDescent="0.3">
      <c r="A286">
        <v>280</v>
      </c>
      <c r="B286" s="3">
        <f t="shared" si="26"/>
        <v>0</v>
      </c>
      <c r="C286" s="3">
        <f t="shared" si="27"/>
        <v>0</v>
      </c>
      <c r="D286" s="3">
        <f t="shared" si="24"/>
        <v>80865.33</v>
      </c>
      <c r="E286" s="3">
        <v>0</v>
      </c>
      <c r="F286" s="3">
        <f t="shared" si="25"/>
        <v>80865.33</v>
      </c>
      <c r="G286" s="3">
        <f t="shared" si="28"/>
        <v>0</v>
      </c>
      <c r="H286" s="3">
        <f t="shared" si="29"/>
        <v>0</v>
      </c>
    </row>
    <row r="287" spans="1:8" x14ac:dyDescent="0.3">
      <c r="A287">
        <v>281</v>
      </c>
      <c r="B287" s="3">
        <f t="shared" si="26"/>
        <v>0</v>
      </c>
      <c r="C287" s="3">
        <f t="shared" si="27"/>
        <v>0</v>
      </c>
      <c r="D287" s="3">
        <f t="shared" si="24"/>
        <v>80865.33</v>
      </c>
      <c r="E287" s="3">
        <v>0</v>
      </c>
      <c r="F287" s="3">
        <f t="shared" si="25"/>
        <v>80865.33</v>
      </c>
      <c r="G287" s="3">
        <f t="shared" si="28"/>
        <v>0</v>
      </c>
      <c r="H287" s="3">
        <f t="shared" si="29"/>
        <v>0</v>
      </c>
    </row>
    <row r="288" spans="1:8" x14ac:dyDescent="0.3">
      <c r="A288">
        <v>282</v>
      </c>
      <c r="B288" s="3">
        <f t="shared" si="26"/>
        <v>0</v>
      </c>
      <c r="C288" s="3">
        <f t="shared" si="27"/>
        <v>0</v>
      </c>
      <c r="D288" s="3">
        <f t="shared" si="24"/>
        <v>80865.33</v>
      </c>
      <c r="E288" s="3">
        <v>0</v>
      </c>
      <c r="F288" s="3">
        <f t="shared" si="25"/>
        <v>80865.33</v>
      </c>
      <c r="G288" s="3">
        <f t="shared" si="28"/>
        <v>0</v>
      </c>
      <c r="H288" s="3">
        <f t="shared" si="29"/>
        <v>0</v>
      </c>
    </row>
    <row r="289" spans="1:8" x14ac:dyDescent="0.3">
      <c r="A289">
        <v>283</v>
      </c>
      <c r="B289" s="3">
        <f t="shared" si="26"/>
        <v>0</v>
      </c>
      <c r="C289" s="3">
        <f t="shared" si="27"/>
        <v>0</v>
      </c>
      <c r="D289" s="3">
        <f t="shared" si="24"/>
        <v>80865.33</v>
      </c>
      <c r="E289" s="3">
        <v>0</v>
      </c>
      <c r="F289" s="3">
        <f t="shared" si="25"/>
        <v>80865.33</v>
      </c>
      <c r="G289" s="3">
        <f t="shared" si="28"/>
        <v>0</v>
      </c>
      <c r="H289" s="3">
        <f t="shared" si="29"/>
        <v>0</v>
      </c>
    </row>
    <row r="290" spans="1:8" x14ac:dyDescent="0.3">
      <c r="A290">
        <v>284</v>
      </c>
      <c r="B290" s="3">
        <f t="shared" si="26"/>
        <v>0</v>
      </c>
      <c r="C290" s="3">
        <f t="shared" si="27"/>
        <v>0</v>
      </c>
      <c r="D290" s="3">
        <f t="shared" si="24"/>
        <v>80865.33</v>
      </c>
      <c r="E290" s="3">
        <v>0</v>
      </c>
      <c r="F290" s="3">
        <f t="shared" si="25"/>
        <v>80865.33</v>
      </c>
      <c r="G290" s="3">
        <f t="shared" si="28"/>
        <v>0</v>
      </c>
      <c r="H290" s="3">
        <f t="shared" si="29"/>
        <v>0</v>
      </c>
    </row>
    <row r="291" spans="1:8" x14ac:dyDescent="0.3">
      <c r="A291">
        <v>285</v>
      </c>
      <c r="B291" s="3">
        <f t="shared" si="26"/>
        <v>0</v>
      </c>
      <c r="C291" s="3">
        <f t="shared" si="27"/>
        <v>0</v>
      </c>
      <c r="D291" s="3">
        <f t="shared" si="24"/>
        <v>80865.33</v>
      </c>
      <c r="E291" s="3">
        <v>0</v>
      </c>
      <c r="F291" s="3">
        <f t="shared" si="25"/>
        <v>80865.33</v>
      </c>
      <c r="G291" s="3">
        <f t="shared" si="28"/>
        <v>0</v>
      </c>
      <c r="H291" s="3">
        <f t="shared" si="29"/>
        <v>0</v>
      </c>
    </row>
    <row r="292" spans="1:8" x14ac:dyDescent="0.3">
      <c r="A292">
        <v>286</v>
      </c>
      <c r="B292" s="3">
        <f t="shared" si="26"/>
        <v>0</v>
      </c>
      <c r="C292" s="3">
        <f t="shared" si="27"/>
        <v>0</v>
      </c>
      <c r="D292" s="3">
        <f t="shared" si="24"/>
        <v>80865.33</v>
      </c>
      <c r="E292" s="3">
        <v>0</v>
      </c>
      <c r="F292" s="3">
        <f t="shared" si="25"/>
        <v>80865.33</v>
      </c>
      <c r="G292" s="3">
        <f t="shared" si="28"/>
        <v>0</v>
      </c>
      <c r="H292" s="3">
        <f t="shared" si="29"/>
        <v>0</v>
      </c>
    </row>
    <row r="293" spans="1:8" x14ac:dyDescent="0.3">
      <c r="A293">
        <v>287</v>
      </c>
      <c r="B293" s="3">
        <f t="shared" si="26"/>
        <v>0</v>
      </c>
      <c r="C293" s="3">
        <f t="shared" si="27"/>
        <v>0</v>
      </c>
      <c r="D293" s="3">
        <f t="shared" si="24"/>
        <v>80865.33</v>
      </c>
      <c r="E293" s="3">
        <v>0</v>
      </c>
      <c r="F293" s="3">
        <f t="shared" si="25"/>
        <v>80865.33</v>
      </c>
      <c r="G293" s="3">
        <f t="shared" si="28"/>
        <v>0</v>
      </c>
      <c r="H293" s="3">
        <f t="shared" si="29"/>
        <v>0</v>
      </c>
    </row>
    <row r="294" spans="1:8" x14ac:dyDescent="0.3">
      <c r="A294">
        <v>288</v>
      </c>
      <c r="B294" s="3">
        <f t="shared" si="26"/>
        <v>0</v>
      </c>
      <c r="C294" s="3">
        <f t="shared" si="27"/>
        <v>0</v>
      </c>
      <c r="D294" s="3">
        <f t="shared" si="24"/>
        <v>80865.33</v>
      </c>
      <c r="E294" s="3">
        <v>0</v>
      </c>
      <c r="F294" s="3">
        <f t="shared" si="25"/>
        <v>80865.33</v>
      </c>
      <c r="G294" s="3">
        <f t="shared" si="28"/>
        <v>0</v>
      </c>
      <c r="H294" s="3">
        <f t="shared" si="29"/>
        <v>0</v>
      </c>
    </row>
    <row r="295" spans="1:8" x14ac:dyDescent="0.3">
      <c r="A295">
        <v>289</v>
      </c>
      <c r="B295" s="3">
        <f t="shared" si="26"/>
        <v>0</v>
      </c>
      <c r="C295" s="3">
        <f t="shared" si="27"/>
        <v>0</v>
      </c>
      <c r="D295" s="3">
        <f t="shared" si="24"/>
        <v>80865.33</v>
      </c>
      <c r="E295" s="3">
        <v>0</v>
      </c>
      <c r="F295" s="3">
        <f t="shared" si="25"/>
        <v>80865.33</v>
      </c>
      <c r="G295" s="3">
        <f t="shared" si="28"/>
        <v>0</v>
      </c>
      <c r="H295" s="3">
        <f t="shared" si="29"/>
        <v>0</v>
      </c>
    </row>
    <row r="296" spans="1:8" x14ac:dyDescent="0.3">
      <c r="A296">
        <v>290</v>
      </c>
      <c r="B296" s="3">
        <f t="shared" si="26"/>
        <v>0</v>
      </c>
      <c r="C296" s="3">
        <f t="shared" si="27"/>
        <v>0</v>
      </c>
      <c r="D296" s="3">
        <f t="shared" si="24"/>
        <v>80865.33</v>
      </c>
      <c r="E296" s="3">
        <v>0</v>
      </c>
      <c r="F296" s="3">
        <f t="shared" si="25"/>
        <v>80865.33</v>
      </c>
      <c r="G296" s="3">
        <f t="shared" si="28"/>
        <v>0</v>
      </c>
      <c r="H296" s="3">
        <f t="shared" si="29"/>
        <v>0</v>
      </c>
    </row>
    <row r="297" spans="1:8" x14ac:dyDescent="0.3">
      <c r="A297">
        <v>291</v>
      </c>
      <c r="B297" s="3">
        <f t="shared" si="26"/>
        <v>0</v>
      </c>
      <c r="C297" s="3">
        <f t="shared" si="27"/>
        <v>0</v>
      </c>
      <c r="D297" s="3">
        <f t="shared" si="24"/>
        <v>80865.33</v>
      </c>
      <c r="E297" s="3">
        <v>0</v>
      </c>
      <c r="F297" s="3">
        <f t="shared" si="25"/>
        <v>80865.33</v>
      </c>
      <c r="G297" s="3">
        <f t="shared" si="28"/>
        <v>0</v>
      </c>
      <c r="H297" s="3">
        <f t="shared" si="29"/>
        <v>0</v>
      </c>
    </row>
    <row r="298" spans="1:8" x14ac:dyDescent="0.3">
      <c r="A298">
        <v>292</v>
      </c>
      <c r="B298" s="3">
        <f t="shared" si="26"/>
        <v>0</v>
      </c>
      <c r="C298" s="3">
        <f t="shared" si="27"/>
        <v>0</v>
      </c>
      <c r="D298" s="3">
        <f t="shared" si="24"/>
        <v>80865.33</v>
      </c>
      <c r="E298" s="3">
        <v>0</v>
      </c>
      <c r="F298" s="3">
        <f t="shared" si="25"/>
        <v>80865.33</v>
      </c>
      <c r="G298" s="3">
        <f t="shared" si="28"/>
        <v>0</v>
      </c>
      <c r="H298" s="3">
        <f t="shared" si="29"/>
        <v>0</v>
      </c>
    </row>
    <row r="299" spans="1:8" x14ac:dyDescent="0.3">
      <c r="A299">
        <v>293</v>
      </c>
      <c r="B299" s="3">
        <f t="shared" si="26"/>
        <v>0</v>
      </c>
      <c r="C299" s="3">
        <f t="shared" si="27"/>
        <v>0</v>
      </c>
      <c r="D299" s="3">
        <f t="shared" si="24"/>
        <v>80865.33</v>
      </c>
      <c r="E299" s="3">
        <v>0</v>
      </c>
      <c r="F299" s="3">
        <f t="shared" si="25"/>
        <v>80865.33</v>
      </c>
      <c r="G299" s="3">
        <f t="shared" si="28"/>
        <v>0</v>
      </c>
      <c r="H299" s="3">
        <f t="shared" si="29"/>
        <v>0</v>
      </c>
    </row>
    <row r="300" spans="1:8" x14ac:dyDescent="0.3">
      <c r="A300">
        <v>294</v>
      </c>
      <c r="B300" s="3">
        <f t="shared" si="26"/>
        <v>0</v>
      </c>
      <c r="C300" s="3">
        <f t="shared" si="27"/>
        <v>0</v>
      </c>
      <c r="D300" s="3">
        <f t="shared" si="24"/>
        <v>80865.33</v>
      </c>
      <c r="E300" s="3">
        <v>0</v>
      </c>
      <c r="F300" s="3">
        <f t="shared" si="25"/>
        <v>80865.33</v>
      </c>
      <c r="G300" s="3">
        <f t="shared" si="28"/>
        <v>0</v>
      </c>
      <c r="H300" s="3">
        <f t="shared" si="29"/>
        <v>0</v>
      </c>
    </row>
    <row r="301" spans="1:8" x14ac:dyDescent="0.3">
      <c r="A301">
        <v>295</v>
      </c>
      <c r="B301" s="3">
        <f t="shared" si="26"/>
        <v>0</v>
      </c>
      <c r="C301" s="3">
        <f t="shared" si="27"/>
        <v>0</v>
      </c>
      <c r="D301" s="3">
        <f t="shared" si="24"/>
        <v>80865.33</v>
      </c>
      <c r="E301" s="3">
        <v>0</v>
      </c>
      <c r="F301" s="3">
        <f t="shared" si="25"/>
        <v>80865.33</v>
      </c>
      <c r="G301" s="3">
        <f t="shared" si="28"/>
        <v>0</v>
      </c>
      <c r="H301" s="3">
        <f t="shared" si="29"/>
        <v>0</v>
      </c>
    </row>
    <row r="302" spans="1:8" x14ac:dyDescent="0.3">
      <c r="A302">
        <v>296</v>
      </c>
      <c r="B302" s="3">
        <f t="shared" si="26"/>
        <v>0</v>
      </c>
      <c r="C302" s="3">
        <f t="shared" si="27"/>
        <v>0</v>
      </c>
      <c r="D302" s="3">
        <f t="shared" si="24"/>
        <v>80865.33</v>
      </c>
      <c r="E302" s="3">
        <v>0</v>
      </c>
      <c r="F302" s="3">
        <f t="shared" si="25"/>
        <v>80865.33</v>
      </c>
      <c r="G302" s="3">
        <f t="shared" si="28"/>
        <v>0</v>
      </c>
      <c r="H302" s="3">
        <f t="shared" si="29"/>
        <v>0</v>
      </c>
    </row>
    <row r="303" spans="1:8" x14ac:dyDescent="0.3">
      <c r="A303">
        <v>297</v>
      </c>
      <c r="B303" s="3">
        <f t="shared" si="26"/>
        <v>0</v>
      </c>
      <c r="C303" s="3">
        <f t="shared" si="27"/>
        <v>0</v>
      </c>
      <c r="D303" s="3">
        <f t="shared" si="24"/>
        <v>80865.33</v>
      </c>
      <c r="E303" s="3">
        <v>0</v>
      </c>
      <c r="F303" s="3">
        <f t="shared" si="25"/>
        <v>80865.33</v>
      </c>
      <c r="G303" s="3">
        <f t="shared" si="28"/>
        <v>0</v>
      </c>
      <c r="H303" s="3">
        <f t="shared" si="29"/>
        <v>0</v>
      </c>
    </row>
    <row r="304" spans="1:8" x14ac:dyDescent="0.3">
      <c r="A304">
        <v>298</v>
      </c>
      <c r="B304" s="3">
        <f t="shared" si="26"/>
        <v>0</v>
      </c>
      <c r="C304" s="3">
        <f t="shared" si="27"/>
        <v>0</v>
      </c>
      <c r="D304" s="3">
        <f t="shared" si="24"/>
        <v>80865.33</v>
      </c>
      <c r="E304" s="3">
        <v>0</v>
      </c>
      <c r="F304" s="3">
        <f t="shared" si="25"/>
        <v>80865.33</v>
      </c>
      <c r="G304" s="3">
        <f t="shared" si="28"/>
        <v>0</v>
      </c>
      <c r="H304" s="3">
        <f t="shared" si="29"/>
        <v>0</v>
      </c>
    </row>
    <row r="305" spans="1:8" x14ac:dyDescent="0.3">
      <c r="A305">
        <v>299</v>
      </c>
      <c r="B305" s="3">
        <f t="shared" si="26"/>
        <v>0</v>
      </c>
      <c r="C305" s="3">
        <f t="shared" si="27"/>
        <v>0</v>
      </c>
      <c r="D305" s="3">
        <f t="shared" si="24"/>
        <v>80865.33</v>
      </c>
      <c r="E305" s="3">
        <v>0</v>
      </c>
      <c r="F305" s="3">
        <f t="shared" si="25"/>
        <v>80865.33</v>
      </c>
      <c r="G305" s="3">
        <f t="shared" si="28"/>
        <v>0</v>
      </c>
      <c r="H305" s="3">
        <f t="shared" si="29"/>
        <v>0</v>
      </c>
    </row>
    <row r="306" spans="1:8" x14ac:dyDescent="0.3">
      <c r="A306">
        <v>300</v>
      </c>
      <c r="B306" s="3">
        <f t="shared" si="26"/>
        <v>0</v>
      </c>
      <c r="C306" s="3">
        <f t="shared" si="27"/>
        <v>0</v>
      </c>
      <c r="D306" s="3">
        <f t="shared" si="24"/>
        <v>80865.33</v>
      </c>
      <c r="E306" s="3">
        <v>0</v>
      </c>
      <c r="F306" s="3">
        <f t="shared" si="25"/>
        <v>80865.33</v>
      </c>
      <c r="G306" s="3">
        <f t="shared" si="28"/>
        <v>0</v>
      </c>
      <c r="H306" s="3">
        <f t="shared" si="29"/>
        <v>0</v>
      </c>
    </row>
    <row r="307" spans="1:8" x14ac:dyDescent="0.3">
      <c r="A307">
        <v>301</v>
      </c>
      <c r="B307" s="3">
        <f t="shared" si="26"/>
        <v>0</v>
      </c>
      <c r="C307" s="3">
        <f t="shared" si="27"/>
        <v>0</v>
      </c>
      <c r="D307" s="3">
        <f t="shared" si="24"/>
        <v>80865.33</v>
      </c>
      <c r="E307" s="3">
        <v>0</v>
      </c>
      <c r="F307" s="3">
        <f t="shared" si="25"/>
        <v>80865.33</v>
      </c>
      <c r="G307" s="3">
        <f t="shared" si="28"/>
        <v>0</v>
      </c>
      <c r="H307" s="3">
        <f t="shared" si="29"/>
        <v>0</v>
      </c>
    </row>
    <row r="308" spans="1:8" x14ac:dyDescent="0.3">
      <c r="A308">
        <v>302</v>
      </c>
      <c r="B308" s="3">
        <f t="shared" si="26"/>
        <v>0</v>
      </c>
      <c r="C308" s="3">
        <f t="shared" si="27"/>
        <v>0</v>
      </c>
      <c r="D308" s="3">
        <f t="shared" si="24"/>
        <v>80865.33</v>
      </c>
      <c r="E308" s="3">
        <v>0</v>
      </c>
      <c r="F308" s="3">
        <f t="shared" si="25"/>
        <v>80865.33</v>
      </c>
      <c r="G308" s="3">
        <f t="shared" si="28"/>
        <v>0</v>
      </c>
      <c r="H308" s="3">
        <f t="shared" si="29"/>
        <v>0</v>
      </c>
    </row>
    <row r="309" spans="1:8" x14ac:dyDescent="0.3">
      <c r="A309">
        <v>303</v>
      </c>
      <c r="B309" s="3">
        <f t="shared" si="26"/>
        <v>0</v>
      </c>
      <c r="C309" s="3">
        <f t="shared" si="27"/>
        <v>0</v>
      </c>
      <c r="D309" s="3">
        <f t="shared" si="24"/>
        <v>80865.33</v>
      </c>
      <c r="E309" s="3">
        <v>0</v>
      </c>
      <c r="F309" s="3">
        <f t="shared" si="25"/>
        <v>80865.33</v>
      </c>
      <c r="G309" s="3">
        <f t="shared" si="28"/>
        <v>0</v>
      </c>
      <c r="H309" s="3">
        <f t="shared" si="29"/>
        <v>0</v>
      </c>
    </row>
    <row r="310" spans="1:8" x14ac:dyDescent="0.3">
      <c r="A310">
        <v>304</v>
      </c>
      <c r="B310" s="3">
        <f t="shared" si="26"/>
        <v>0</v>
      </c>
      <c r="C310" s="3">
        <f t="shared" si="27"/>
        <v>0</v>
      </c>
      <c r="D310" s="3">
        <f t="shared" si="24"/>
        <v>80865.33</v>
      </c>
      <c r="E310" s="3">
        <v>0</v>
      </c>
      <c r="F310" s="3">
        <f t="shared" si="25"/>
        <v>80865.33</v>
      </c>
      <c r="G310" s="3">
        <f t="shared" si="28"/>
        <v>0</v>
      </c>
      <c r="H310" s="3">
        <f t="shared" si="29"/>
        <v>0</v>
      </c>
    </row>
    <row r="311" spans="1:8" x14ac:dyDescent="0.3">
      <c r="A311">
        <v>305</v>
      </c>
      <c r="B311" s="3">
        <f t="shared" si="26"/>
        <v>0</v>
      </c>
      <c r="C311" s="3">
        <f t="shared" si="27"/>
        <v>0</v>
      </c>
      <c r="D311" s="3">
        <f t="shared" si="24"/>
        <v>80865.33</v>
      </c>
      <c r="E311" s="3">
        <v>0</v>
      </c>
      <c r="F311" s="3">
        <f t="shared" si="25"/>
        <v>80865.33</v>
      </c>
      <c r="G311" s="3">
        <f t="shared" si="28"/>
        <v>0</v>
      </c>
      <c r="H311" s="3">
        <f t="shared" si="29"/>
        <v>0</v>
      </c>
    </row>
    <row r="312" spans="1:8" x14ac:dyDescent="0.3">
      <c r="A312">
        <v>306</v>
      </c>
      <c r="B312" s="3">
        <f t="shared" si="26"/>
        <v>0</v>
      </c>
      <c r="C312" s="3">
        <f t="shared" si="27"/>
        <v>0</v>
      </c>
      <c r="D312" s="3">
        <f t="shared" si="24"/>
        <v>80865.33</v>
      </c>
      <c r="E312" s="3">
        <v>0</v>
      </c>
      <c r="F312" s="3">
        <f t="shared" si="25"/>
        <v>80865.33</v>
      </c>
      <c r="G312" s="3">
        <f t="shared" si="28"/>
        <v>0</v>
      </c>
      <c r="H312" s="3">
        <f t="shared" si="29"/>
        <v>0</v>
      </c>
    </row>
    <row r="313" spans="1:8" x14ac:dyDescent="0.3">
      <c r="A313">
        <v>307</v>
      </c>
      <c r="B313" s="3">
        <f t="shared" si="26"/>
        <v>0</v>
      </c>
      <c r="C313" s="3">
        <f t="shared" si="27"/>
        <v>0</v>
      </c>
      <c r="D313" s="3">
        <f t="shared" si="24"/>
        <v>80865.33</v>
      </c>
      <c r="E313" s="3">
        <v>0</v>
      </c>
      <c r="F313" s="3">
        <f t="shared" si="25"/>
        <v>80865.33</v>
      </c>
      <c r="G313" s="3">
        <f t="shared" si="28"/>
        <v>0</v>
      </c>
      <c r="H313" s="3">
        <f t="shared" si="29"/>
        <v>0</v>
      </c>
    </row>
    <row r="314" spans="1:8" x14ac:dyDescent="0.3">
      <c r="A314">
        <v>308</v>
      </c>
      <c r="B314" s="3">
        <f t="shared" si="26"/>
        <v>0</v>
      </c>
      <c r="C314" s="3">
        <f t="shared" si="27"/>
        <v>0</v>
      </c>
      <c r="D314" s="3">
        <f t="shared" si="24"/>
        <v>80865.33</v>
      </c>
      <c r="E314" s="3">
        <v>0</v>
      </c>
      <c r="F314" s="3">
        <f t="shared" si="25"/>
        <v>80865.33</v>
      </c>
      <c r="G314" s="3">
        <f t="shared" si="28"/>
        <v>0</v>
      </c>
      <c r="H314" s="3">
        <f t="shared" si="29"/>
        <v>0</v>
      </c>
    </row>
    <row r="315" spans="1:8" x14ac:dyDescent="0.3">
      <c r="A315">
        <v>309</v>
      </c>
      <c r="B315" s="3">
        <f t="shared" si="26"/>
        <v>0</v>
      </c>
      <c r="C315" s="3">
        <f t="shared" si="27"/>
        <v>0</v>
      </c>
      <c r="D315" s="3">
        <f t="shared" si="24"/>
        <v>80865.33</v>
      </c>
      <c r="E315" s="3">
        <v>0</v>
      </c>
      <c r="F315" s="3">
        <f t="shared" si="25"/>
        <v>80865.33</v>
      </c>
      <c r="G315" s="3">
        <f t="shared" si="28"/>
        <v>0</v>
      </c>
      <c r="H315" s="3">
        <f t="shared" si="29"/>
        <v>0</v>
      </c>
    </row>
    <row r="316" spans="1:8" x14ac:dyDescent="0.3">
      <c r="A316">
        <v>310</v>
      </c>
      <c r="B316" s="3">
        <f t="shared" si="26"/>
        <v>0</v>
      </c>
      <c r="C316" s="3">
        <f t="shared" si="27"/>
        <v>0</v>
      </c>
      <c r="D316" s="3">
        <f t="shared" si="24"/>
        <v>80865.33</v>
      </c>
      <c r="E316" s="3">
        <v>0</v>
      </c>
      <c r="F316" s="3">
        <f t="shared" si="25"/>
        <v>80865.33</v>
      </c>
      <c r="G316" s="3">
        <f t="shared" si="28"/>
        <v>0</v>
      </c>
      <c r="H316" s="3">
        <f t="shared" si="29"/>
        <v>0</v>
      </c>
    </row>
    <row r="317" spans="1:8" x14ac:dyDescent="0.3">
      <c r="A317">
        <v>311</v>
      </c>
      <c r="B317" s="3">
        <f t="shared" si="26"/>
        <v>0</v>
      </c>
      <c r="C317" s="3">
        <f t="shared" si="27"/>
        <v>0</v>
      </c>
      <c r="D317" s="3">
        <f t="shared" si="24"/>
        <v>80865.33</v>
      </c>
      <c r="E317" s="3">
        <v>0</v>
      </c>
      <c r="F317" s="3">
        <f t="shared" si="25"/>
        <v>80865.33</v>
      </c>
      <c r="G317" s="3">
        <f t="shared" si="28"/>
        <v>0</v>
      </c>
      <c r="H317" s="3">
        <f t="shared" si="29"/>
        <v>0</v>
      </c>
    </row>
    <row r="318" spans="1:8" x14ac:dyDescent="0.3">
      <c r="A318">
        <v>312</v>
      </c>
      <c r="B318" s="3">
        <f t="shared" si="26"/>
        <v>0</v>
      </c>
      <c r="C318" s="3">
        <f t="shared" si="27"/>
        <v>0</v>
      </c>
      <c r="D318" s="3">
        <f t="shared" si="24"/>
        <v>80865.33</v>
      </c>
      <c r="E318" s="3">
        <v>0</v>
      </c>
      <c r="F318" s="3">
        <f t="shared" si="25"/>
        <v>80865.33</v>
      </c>
      <c r="G318" s="3">
        <f t="shared" si="28"/>
        <v>0</v>
      </c>
      <c r="H318" s="3">
        <f t="shared" si="29"/>
        <v>0</v>
      </c>
    </row>
    <row r="319" spans="1:8" x14ac:dyDescent="0.3">
      <c r="A319">
        <v>313</v>
      </c>
      <c r="B319" s="3">
        <f t="shared" si="26"/>
        <v>0</v>
      </c>
      <c r="C319" s="3">
        <f t="shared" si="27"/>
        <v>0</v>
      </c>
      <c r="D319" s="3">
        <f t="shared" si="24"/>
        <v>80865.33</v>
      </c>
      <c r="E319" s="3">
        <v>0</v>
      </c>
      <c r="F319" s="3">
        <f t="shared" si="25"/>
        <v>80865.33</v>
      </c>
      <c r="G319" s="3">
        <f t="shared" si="28"/>
        <v>0</v>
      </c>
      <c r="H319" s="3">
        <f t="shared" si="29"/>
        <v>0</v>
      </c>
    </row>
    <row r="320" spans="1:8" x14ac:dyDescent="0.3">
      <c r="A320">
        <v>314</v>
      </c>
      <c r="B320" s="3">
        <f t="shared" si="26"/>
        <v>0</v>
      </c>
      <c r="C320" s="3">
        <f t="shared" si="27"/>
        <v>0</v>
      </c>
      <c r="D320" s="3">
        <f t="shared" si="24"/>
        <v>80865.33</v>
      </c>
      <c r="E320" s="3">
        <v>0</v>
      </c>
      <c r="F320" s="3">
        <f t="shared" si="25"/>
        <v>80865.33</v>
      </c>
      <c r="G320" s="3">
        <f t="shared" si="28"/>
        <v>0</v>
      </c>
      <c r="H320" s="3">
        <f t="shared" si="29"/>
        <v>0</v>
      </c>
    </row>
    <row r="321" spans="1:8" x14ac:dyDescent="0.3">
      <c r="A321">
        <v>315</v>
      </c>
      <c r="B321" s="3">
        <f t="shared" si="26"/>
        <v>0</v>
      </c>
      <c r="C321" s="3">
        <f t="shared" si="27"/>
        <v>0</v>
      </c>
      <c r="D321" s="3">
        <f t="shared" si="24"/>
        <v>80865.33</v>
      </c>
      <c r="E321" s="3">
        <v>0</v>
      </c>
      <c r="F321" s="3">
        <f t="shared" si="25"/>
        <v>80865.33</v>
      </c>
      <c r="G321" s="3">
        <f t="shared" si="28"/>
        <v>0</v>
      </c>
      <c r="H321" s="3">
        <f t="shared" si="29"/>
        <v>0</v>
      </c>
    </row>
    <row r="322" spans="1:8" x14ac:dyDescent="0.3">
      <c r="A322">
        <v>316</v>
      </c>
      <c r="B322" s="3">
        <f t="shared" si="26"/>
        <v>0</v>
      </c>
      <c r="C322" s="3">
        <f t="shared" si="27"/>
        <v>0</v>
      </c>
      <c r="D322" s="3">
        <f t="shared" si="24"/>
        <v>80865.33</v>
      </c>
      <c r="E322" s="3">
        <v>0</v>
      </c>
      <c r="F322" s="3">
        <f t="shared" si="25"/>
        <v>80865.33</v>
      </c>
      <c r="G322" s="3">
        <f t="shared" si="28"/>
        <v>0</v>
      </c>
      <c r="H322" s="3">
        <f t="shared" si="29"/>
        <v>0</v>
      </c>
    </row>
    <row r="323" spans="1:8" x14ac:dyDescent="0.3">
      <c r="A323">
        <v>317</v>
      </c>
      <c r="B323" s="3">
        <f t="shared" si="26"/>
        <v>0</v>
      </c>
      <c r="C323" s="3">
        <f t="shared" si="27"/>
        <v>0</v>
      </c>
      <c r="D323" s="3">
        <f t="shared" si="24"/>
        <v>80865.33</v>
      </c>
      <c r="E323" s="3">
        <v>0</v>
      </c>
      <c r="F323" s="3">
        <f t="shared" si="25"/>
        <v>80865.33</v>
      </c>
      <c r="G323" s="3">
        <f t="shared" si="28"/>
        <v>0</v>
      </c>
      <c r="H323" s="3">
        <f t="shared" si="29"/>
        <v>0</v>
      </c>
    </row>
    <row r="324" spans="1:8" x14ac:dyDescent="0.3">
      <c r="A324">
        <v>318</v>
      </c>
      <c r="B324" s="3">
        <f t="shared" si="26"/>
        <v>0</v>
      </c>
      <c r="C324" s="3">
        <f t="shared" si="27"/>
        <v>0</v>
      </c>
      <c r="D324" s="3">
        <f t="shared" si="24"/>
        <v>80865.33</v>
      </c>
      <c r="E324" s="3">
        <v>0</v>
      </c>
      <c r="F324" s="3">
        <f t="shared" si="25"/>
        <v>80865.33</v>
      </c>
      <c r="G324" s="3">
        <f t="shared" si="28"/>
        <v>0</v>
      </c>
      <c r="H324" s="3">
        <f t="shared" si="29"/>
        <v>0</v>
      </c>
    </row>
    <row r="325" spans="1:8" x14ac:dyDescent="0.3">
      <c r="A325">
        <v>319</v>
      </c>
      <c r="B325" s="3">
        <f t="shared" si="26"/>
        <v>0</v>
      </c>
      <c r="C325" s="3">
        <f t="shared" si="27"/>
        <v>0</v>
      </c>
      <c r="D325" s="3">
        <f t="shared" si="24"/>
        <v>80865.33</v>
      </c>
      <c r="E325" s="3">
        <v>0</v>
      </c>
      <c r="F325" s="3">
        <f t="shared" si="25"/>
        <v>80865.33</v>
      </c>
      <c r="G325" s="3">
        <f t="shared" si="28"/>
        <v>0</v>
      </c>
      <c r="H325" s="3">
        <f t="shared" si="29"/>
        <v>0</v>
      </c>
    </row>
    <row r="326" spans="1:8" x14ac:dyDescent="0.3">
      <c r="A326">
        <v>320</v>
      </c>
      <c r="B326" s="3">
        <f t="shared" si="26"/>
        <v>0</v>
      </c>
      <c r="C326" s="3">
        <f t="shared" si="27"/>
        <v>0</v>
      </c>
      <c r="D326" s="3">
        <f t="shared" si="24"/>
        <v>80865.33</v>
      </c>
      <c r="E326" s="3">
        <v>0</v>
      </c>
      <c r="F326" s="3">
        <f t="shared" si="25"/>
        <v>80865.33</v>
      </c>
      <c r="G326" s="3">
        <f t="shared" si="28"/>
        <v>0</v>
      </c>
      <c r="H326" s="3">
        <f t="shared" si="29"/>
        <v>0</v>
      </c>
    </row>
    <row r="327" spans="1:8" x14ac:dyDescent="0.3">
      <c r="A327">
        <v>321</v>
      </c>
      <c r="B327" s="3">
        <f t="shared" si="26"/>
        <v>0</v>
      </c>
      <c r="C327" s="3">
        <f t="shared" si="27"/>
        <v>0</v>
      </c>
      <c r="D327" s="3">
        <f t="shared" ref="D327:D366" si="30">$E$1</f>
        <v>80865.33</v>
      </c>
      <c r="E327" s="3">
        <v>0</v>
      </c>
      <c r="F327" s="3">
        <f t="shared" ref="F327:F366" si="31">D327+E327</f>
        <v>80865.33</v>
      </c>
      <c r="G327" s="3">
        <f t="shared" si="28"/>
        <v>0</v>
      </c>
      <c r="H327" s="3">
        <f t="shared" si="29"/>
        <v>0</v>
      </c>
    </row>
    <row r="328" spans="1:8" x14ac:dyDescent="0.3">
      <c r="A328">
        <v>322</v>
      </c>
      <c r="B328" s="3">
        <f t="shared" ref="B328:B366" si="32">H327</f>
        <v>0</v>
      </c>
      <c r="C328" s="3">
        <f t="shared" ref="C328:C366" si="33">ROUND(B328*($B$2/12/100), 2)</f>
        <v>0</v>
      </c>
      <c r="D328" s="3">
        <f t="shared" si="30"/>
        <v>80865.33</v>
      </c>
      <c r="E328" s="3">
        <v>0</v>
      </c>
      <c r="F328" s="3">
        <f t="shared" si="31"/>
        <v>80865.33</v>
      </c>
      <c r="G328" s="3">
        <f t="shared" ref="G328:G366" si="34">MIN(B328, F328-C328)</f>
        <v>0</v>
      </c>
      <c r="H328" s="3">
        <f t="shared" ref="H328:H366" si="35">MAX(0, B328-G328)</f>
        <v>0</v>
      </c>
    </row>
    <row r="329" spans="1:8" x14ac:dyDescent="0.3">
      <c r="A329">
        <v>323</v>
      </c>
      <c r="B329" s="3">
        <f t="shared" si="32"/>
        <v>0</v>
      </c>
      <c r="C329" s="3">
        <f t="shared" si="33"/>
        <v>0</v>
      </c>
      <c r="D329" s="3">
        <f t="shared" si="30"/>
        <v>80865.33</v>
      </c>
      <c r="E329" s="3">
        <v>0</v>
      </c>
      <c r="F329" s="3">
        <f t="shared" si="31"/>
        <v>80865.33</v>
      </c>
      <c r="G329" s="3">
        <f t="shared" si="34"/>
        <v>0</v>
      </c>
      <c r="H329" s="3">
        <f t="shared" si="35"/>
        <v>0</v>
      </c>
    </row>
    <row r="330" spans="1:8" x14ac:dyDescent="0.3">
      <c r="A330">
        <v>324</v>
      </c>
      <c r="B330" s="3">
        <f t="shared" si="32"/>
        <v>0</v>
      </c>
      <c r="C330" s="3">
        <f t="shared" si="33"/>
        <v>0</v>
      </c>
      <c r="D330" s="3">
        <f t="shared" si="30"/>
        <v>80865.33</v>
      </c>
      <c r="E330" s="3">
        <v>0</v>
      </c>
      <c r="F330" s="3">
        <f t="shared" si="31"/>
        <v>80865.33</v>
      </c>
      <c r="G330" s="3">
        <f t="shared" si="34"/>
        <v>0</v>
      </c>
      <c r="H330" s="3">
        <f t="shared" si="35"/>
        <v>0</v>
      </c>
    </row>
    <row r="331" spans="1:8" x14ac:dyDescent="0.3">
      <c r="A331">
        <v>325</v>
      </c>
      <c r="B331" s="3">
        <f t="shared" si="32"/>
        <v>0</v>
      </c>
      <c r="C331" s="3">
        <f t="shared" si="33"/>
        <v>0</v>
      </c>
      <c r="D331" s="3">
        <f t="shared" si="30"/>
        <v>80865.33</v>
      </c>
      <c r="E331" s="3">
        <v>0</v>
      </c>
      <c r="F331" s="3">
        <f t="shared" si="31"/>
        <v>80865.33</v>
      </c>
      <c r="G331" s="3">
        <f t="shared" si="34"/>
        <v>0</v>
      </c>
      <c r="H331" s="3">
        <f t="shared" si="35"/>
        <v>0</v>
      </c>
    </row>
    <row r="332" spans="1:8" x14ac:dyDescent="0.3">
      <c r="A332">
        <v>326</v>
      </c>
      <c r="B332" s="3">
        <f t="shared" si="32"/>
        <v>0</v>
      </c>
      <c r="C332" s="3">
        <f t="shared" si="33"/>
        <v>0</v>
      </c>
      <c r="D332" s="3">
        <f t="shared" si="30"/>
        <v>80865.33</v>
      </c>
      <c r="E332" s="3">
        <v>0</v>
      </c>
      <c r="F332" s="3">
        <f t="shared" si="31"/>
        <v>80865.33</v>
      </c>
      <c r="G332" s="3">
        <f t="shared" si="34"/>
        <v>0</v>
      </c>
      <c r="H332" s="3">
        <f t="shared" si="35"/>
        <v>0</v>
      </c>
    </row>
    <row r="333" spans="1:8" x14ac:dyDescent="0.3">
      <c r="A333">
        <v>327</v>
      </c>
      <c r="B333" s="3">
        <f t="shared" si="32"/>
        <v>0</v>
      </c>
      <c r="C333" s="3">
        <f t="shared" si="33"/>
        <v>0</v>
      </c>
      <c r="D333" s="3">
        <f t="shared" si="30"/>
        <v>80865.33</v>
      </c>
      <c r="E333" s="3">
        <v>0</v>
      </c>
      <c r="F333" s="3">
        <f t="shared" si="31"/>
        <v>80865.33</v>
      </c>
      <c r="G333" s="3">
        <f t="shared" si="34"/>
        <v>0</v>
      </c>
      <c r="H333" s="3">
        <f t="shared" si="35"/>
        <v>0</v>
      </c>
    </row>
    <row r="334" spans="1:8" x14ac:dyDescent="0.3">
      <c r="A334">
        <v>328</v>
      </c>
      <c r="B334" s="3">
        <f t="shared" si="32"/>
        <v>0</v>
      </c>
      <c r="C334" s="3">
        <f t="shared" si="33"/>
        <v>0</v>
      </c>
      <c r="D334" s="3">
        <f t="shared" si="30"/>
        <v>80865.33</v>
      </c>
      <c r="E334" s="3">
        <v>0</v>
      </c>
      <c r="F334" s="3">
        <f t="shared" si="31"/>
        <v>80865.33</v>
      </c>
      <c r="G334" s="3">
        <f t="shared" si="34"/>
        <v>0</v>
      </c>
      <c r="H334" s="3">
        <f t="shared" si="35"/>
        <v>0</v>
      </c>
    </row>
    <row r="335" spans="1:8" x14ac:dyDescent="0.3">
      <c r="A335">
        <v>329</v>
      </c>
      <c r="B335" s="3">
        <f t="shared" si="32"/>
        <v>0</v>
      </c>
      <c r="C335" s="3">
        <f t="shared" si="33"/>
        <v>0</v>
      </c>
      <c r="D335" s="3">
        <f t="shared" si="30"/>
        <v>80865.33</v>
      </c>
      <c r="E335" s="3">
        <v>0</v>
      </c>
      <c r="F335" s="3">
        <f t="shared" si="31"/>
        <v>80865.33</v>
      </c>
      <c r="G335" s="3">
        <f t="shared" si="34"/>
        <v>0</v>
      </c>
      <c r="H335" s="3">
        <f t="shared" si="35"/>
        <v>0</v>
      </c>
    </row>
    <row r="336" spans="1:8" x14ac:dyDescent="0.3">
      <c r="A336">
        <v>330</v>
      </c>
      <c r="B336" s="3">
        <f t="shared" si="32"/>
        <v>0</v>
      </c>
      <c r="C336" s="3">
        <f t="shared" si="33"/>
        <v>0</v>
      </c>
      <c r="D336" s="3">
        <f t="shared" si="30"/>
        <v>80865.33</v>
      </c>
      <c r="E336" s="3">
        <v>0</v>
      </c>
      <c r="F336" s="3">
        <f t="shared" si="31"/>
        <v>80865.33</v>
      </c>
      <c r="G336" s="3">
        <f t="shared" si="34"/>
        <v>0</v>
      </c>
      <c r="H336" s="3">
        <f t="shared" si="35"/>
        <v>0</v>
      </c>
    </row>
    <row r="337" spans="1:8" x14ac:dyDescent="0.3">
      <c r="A337">
        <v>331</v>
      </c>
      <c r="B337" s="3">
        <f t="shared" si="32"/>
        <v>0</v>
      </c>
      <c r="C337" s="3">
        <f t="shared" si="33"/>
        <v>0</v>
      </c>
      <c r="D337" s="3">
        <f t="shared" si="30"/>
        <v>80865.33</v>
      </c>
      <c r="E337" s="3">
        <v>0</v>
      </c>
      <c r="F337" s="3">
        <f t="shared" si="31"/>
        <v>80865.33</v>
      </c>
      <c r="G337" s="3">
        <f t="shared" si="34"/>
        <v>0</v>
      </c>
      <c r="H337" s="3">
        <f t="shared" si="35"/>
        <v>0</v>
      </c>
    </row>
    <row r="338" spans="1:8" x14ac:dyDescent="0.3">
      <c r="A338">
        <v>332</v>
      </c>
      <c r="B338" s="3">
        <f t="shared" si="32"/>
        <v>0</v>
      </c>
      <c r="C338" s="3">
        <f t="shared" si="33"/>
        <v>0</v>
      </c>
      <c r="D338" s="3">
        <f t="shared" si="30"/>
        <v>80865.33</v>
      </c>
      <c r="E338" s="3">
        <v>0</v>
      </c>
      <c r="F338" s="3">
        <f t="shared" si="31"/>
        <v>80865.33</v>
      </c>
      <c r="G338" s="3">
        <f t="shared" si="34"/>
        <v>0</v>
      </c>
      <c r="H338" s="3">
        <f t="shared" si="35"/>
        <v>0</v>
      </c>
    </row>
    <row r="339" spans="1:8" x14ac:dyDescent="0.3">
      <c r="A339">
        <v>333</v>
      </c>
      <c r="B339" s="3">
        <f t="shared" si="32"/>
        <v>0</v>
      </c>
      <c r="C339" s="3">
        <f t="shared" si="33"/>
        <v>0</v>
      </c>
      <c r="D339" s="3">
        <f t="shared" si="30"/>
        <v>80865.33</v>
      </c>
      <c r="E339" s="3">
        <v>0</v>
      </c>
      <c r="F339" s="3">
        <f t="shared" si="31"/>
        <v>80865.33</v>
      </c>
      <c r="G339" s="3">
        <f t="shared" si="34"/>
        <v>0</v>
      </c>
      <c r="H339" s="3">
        <f t="shared" si="35"/>
        <v>0</v>
      </c>
    </row>
    <row r="340" spans="1:8" x14ac:dyDescent="0.3">
      <c r="A340">
        <v>334</v>
      </c>
      <c r="B340" s="3">
        <f t="shared" si="32"/>
        <v>0</v>
      </c>
      <c r="C340" s="3">
        <f t="shared" si="33"/>
        <v>0</v>
      </c>
      <c r="D340" s="3">
        <f t="shared" si="30"/>
        <v>80865.33</v>
      </c>
      <c r="E340" s="3">
        <v>0</v>
      </c>
      <c r="F340" s="3">
        <f t="shared" si="31"/>
        <v>80865.33</v>
      </c>
      <c r="G340" s="3">
        <f t="shared" si="34"/>
        <v>0</v>
      </c>
      <c r="H340" s="3">
        <f t="shared" si="35"/>
        <v>0</v>
      </c>
    </row>
    <row r="341" spans="1:8" x14ac:dyDescent="0.3">
      <c r="A341">
        <v>335</v>
      </c>
      <c r="B341" s="3">
        <f t="shared" si="32"/>
        <v>0</v>
      </c>
      <c r="C341" s="3">
        <f t="shared" si="33"/>
        <v>0</v>
      </c>
      <c r="D341" s="3">
        <f t="shared" si="30"/>
        <v>80865.33</v>
      </c>
      <c r="E341" s="3">
        <v>0</v>
      </c>
      <c r="F341" s="3">
        <f t="shared" si="31"/>
        <v>80865.33</v>
      </c>
      <c r="G341" s="3">
        <f t="shared" si="34"/>
        <v>0</v>
      </c>
      <c r="H341" s="3">
        <f t="shared" si="35"/>
        <v>0</v>
      </c>
    </row>
    <row r="342" spans="1:8" x14ac:dyDescent="0.3">
      <c r="A342">
        <v>336</v>
      </c>
      <c r="B342" s="3">
        <f t="shared" si="32"/>
        <v>0</v>
      </c>
      <c r="C342" s="3">
        <f t="shared" si="33"/>
        <v>0</v>
      </c>
      <c r="D342" s="3">
        <f t="shared" si="30"/>
        <v>80865.33</v>
      </c>
      <c r="E342" s="3">
        <v>0</v>
      </c>
      <c r="F342" s="3">
        <f t="shared" si="31"/>
        <v>80865.33</v>
      </c>
      <c r="G342" s="3">
        <f t="shared" si="34"/>
        <v>0</v>
      </c>
      <c r="H342" s="3">
        <f t="shared" si="35"/>
        <v>0</v>
      </c>
    </row>
    <row r="343" spans="1:8" x14ac:dyDescent="0.3">
      <c r="A343">
        <v>337</v>
      </c>
      <c r="B343" s="3">
        <f t="shared" si="32"/>
        <v>0</v>
      </c>
      <c r="C343" s="3">
        <f t="shared" si="33"/>
        <v>0</v>
      </c>
      <c r="D343" s="3">
        <f t="shared" si="30"/>
        <v>80865.33</v>
      </c>
      <c r="E343" s="3">
        <v>0</v>
      </c>
      <c r="F343" s="3">
        <f t="shared" si="31"/>
        <v>80865.33</v>
      </c>
      <c r="G343" s="3">
        <f t="shared" si="34"/>
        <v>0</v>
      </c>
      <c r="H343" s="3">
        <f t="shared" si="35"/>
        <v>0</v>
      </c>
    </row>
    <row r="344" spans="1:8" x14ac:dyDescent="0.3">
      <c r="A344">
        <v>338</v>
      </c>
      <c r="B344" s="3">
        <f t="shared" si="32"/>
        <v>0</v>
      </c>
      <c r="C344" s="3">
        <f t="shared" si="33"/>
        <v>0</v>
      </c>
      <c r="D344" s="3">
        <f t="shared" si="30"/>
        <v>80865.33</v>
      </c>
      <c r="E344" s="3">
        <v>0</v>
      </c>
      <c r="F344" s="3">
        <f t="shared" si="31"/>
        <v>80865.33</v>
      </c>
      <c r="G344" s="3">
        <f t="shared" si="34"/>
        <v>0</v>
      </c>
      <c r="H344" s="3">
        <f t="shared" si="35"/>
        <v>0</v>
      </c>
    </row>
    <row r="345" spans="1:8" x14ac:dyDescent="0.3">
      <c r="A345">
        <v>339</v>
      </c>
      <c r="B345" s="3">
        <f t="shared" si="32"/>
        <v>0</v>
      </c>
      <c r="C345" s="3">
        <f t="shared" si="33"/>
        <v>0</v>
      </c>
      <c r="D345" s="3">
        <f t="shared" si="30"/>
        <v>80865.33</v>
      </c>
      <c r="E345" s="3">
        <v>0</v>
      </c>
      <c r="F345" s="3">
        <f t="shared" si="31"/>
        <v>80865.33</v>
      </c>
      <c r="G345" s="3">
        <f t="shared" si="34"/>
        <v>0</v>
      </c>
      <c r="H345" s="3">
        <f t="shared" si="35"/>
        <v>0</v>
      </c>
    </row>
    <row r="346" spans="1:8" x14ac:dyDescent="0.3">
      <c r="A346">
        <v>340</v>
      </c>
      <c r="B346" s="3">
        <f t="shared" si="32"/>
        <v>0</v>
      </c>
      <c r="C346" s="3">
        <f t="shared" si="33"/>
        <v>0</v>
      </c>
      <c r="D346" s="3">
        <f t="shared" si="30"/>
        <v>80865.33</v>
      </c>
      <c r="E346" s="3">
        <v>0</v>
      </c>
      <c r="F346" s="3">
        <f t="shared" si="31"/>
        <v>80865.33</v>
      </c>
      <c r="G346" s="3">
        <f t="shared" si="34"/>
        <v>0</v>
      </c>
      <c r="H346" s="3">
        <f t="shared" si="35"/>
        <v>0</v>
      </c>
    </row>
    <row r="347" spans="1:8" x14ac:dyDescent="0.3">
      <c r="A347">
        <v>341</v>
      </c>
      <c r="B347" s="3">
        <f t="shared" si="32"/>
        <v>0</v>
      </c>
      <c r="C347" s="3">
        <f t="shared" si="33"/>
        <v>0</v>
      </c>
      <c r="D347" s="3">
        <f t="shared" si="30"/>
        <v>80865.33</v>
      </c>
      <c r="E347" s="3">
        <v>0</v>
      </c>
      <c r="F347" s="3">
        <f t="shared" si="31"/>
        <v>80865.33</v>
      </c>
      <c r="G347" s="3">
        <f t="shared" si="34"/>
        <v>0</v>
      </c>
      <c r="H347" s="3">
        <f t="shared" si="35"/>
        <v>0</v>
      </c>
    </row>
    <row r="348" spans="1:8" x14ac:dyDescent="0.3">
      <c r="A348">
        <v>342</v>
      </c>
      <c r="B348" s="3">
        <f t="shared" si="32"/>
        <v>0</v>
      </c>
      <c r="C348" s="3">
        <f t="shared" si="33"/>
        <v>0</v>
      </c>
      <c r="D348" s="3">
        <f t="shared" si="30"/>
        <v>80865.33</v>
      </c>
      <c r="E348" s="3">
        <v>0</v>
      </c>
      <c r="F348" s="3">
        <f t="shared" si="31"/>
        <v>80865.33</v>
      </c>
      <c r="G348" s="3">
        <f t="shared" si="34"/>
        <v>0</v>
      </c>
      <c r="H348" s="3">
        <f t="shared" si="35"/>
        <v>0</v>
      </c>
    </row>
    <row r="349" spans="1:8" x14ac:dyDescent="0.3">
      <c r="A349">
        <v>343</v>
      </c>
      <c r="B349" s="3">
        <f t="shared" si="32"/>
        <v>0</v>
      </c>
      <c r="C349" s="3">
        <f t="shared" si="33"/>
        <v>0</v>
      </c>
      <c r="D349" s="3">
        <f t="shared" si="30"/>
        <v>80865.33</v>
      </c>
      <c r="E349" s="3">
        <v>0</v>
      </c>
      <c r="F349" s="3">
        <f t="shared" si="31"/>
        <v>80865.33</v>
      </c>
      <c r="G349" s="3">
        <f t="shared" si="34"/>
        <v>0</v>
      </c>
      <c r="H349" s="3">
        <f t="shared" si="35"/>
        <v>0</v>
      </c>
    </row>
    <row r="350" spans="1:8" x14ac:dyDescent="0.3">
      <c r="A350">
        <v>344</v>
      </c>
      <c r="B350" s="3">
        <f t="shared" si="32"/>
        <v>0</v>
      </c>
      <c r="C350" s="3">
        <f t="shared" si="33"/>
        <v>0</v>
      </c>
      <c r="D350" s="3">
        <f t="shared" si="30"/>
        <v>80865.33</v>
      </c>
      <c r="E350" s="3">
        <v>0</v>
      </c>
      <c r="F350" s="3">
        <f t="shared" si="31"/>
        <v>80865.33</v>
      </c>
      <c r="G350" s="3">
        <f t="shared" si="34"/>
        <v>0</v>
      </c>
      <c r="H350" s="3">
        <f t="shared" si="35"/>
        <v>0</v>
      </c>
    </row>
    <row r="351" spans="1:8" x14ac:dyDescent="0.3">
      <c r="A351">
        <v>345</v>
      </c>
      <c r="B351" s="3">
        <f t="shared" si="32"/>
        <v>0</v>
      </c>
      <c r="C351" s="3">
        <f t="shared" si="33"/>
        <v>0</v>
      </c>
      <c r="D351" s="3">
        <f t="shared" si="30"/>
        <v>80865.33</v>
      </c>
      <c r="E351" s="3">
        <v>0</v>
      </c>
      <c r="F351" s="3">
        <f t="shared" si="31"/>
        <v>80865.33</v>
      </c>
      <c r="G351" s="3">
        <f t="shared" si="34"/>
        <v>0</v>
      </c>
      <c r="H351" s="3">
        <f t="shared" si="35"/>
        <v>0</v>
      </c>
    </row>
    <row r="352" spans="1:8" x14ac:dyDescent="0.3">
      <c r="A352">
        <v>346</v>
      </c>
      <c r="B352" s="3">
        <f t="shared" si="32"/>
        <v>0</v>
      </c>
      <c r="C352" s="3">
        <f t="shared" si="33"/>
        <v>0</v>
      </c>
      <c r="D352" s="3">
        <f t="shared" si="30"/>
        <v>80865.33</v>
      </c>
      <c r="E352" s="3">
        <v>0</v>
      </c>
      <c r="F352" s="3">
        <f t="shared" si="31"/>
        <v>80865.33</v>
      </c>
      <c r="G352" s="3">
        <f t="shared" si="34"/>
        <v>0</v>
      </c>
      <c r="H352" s="3">
        <f t="shared" si="35"/>
        <v>0</v>
      </c>
    </row>
    <row r="353" spans="1:8" x14ac:dyDescent="0.3">
      <c r="A353">
        <v>347</v>
      </c>
      <c r="B353" s="3">
        <f t="shared" si="32"/>
        <v>0</v>
      </c>
      <c r="C353" s="3">
        <f t="shared" si="33"/>
        <v>0</v>
      </c>
      <c r="D353" s="3">
        <f t="shared" si="30"/>
        <v>80865.33</v>
      </c>
      <c r="E353" s="3">
        <v>0</v>
      </c>
      <c r="F353" s="3">
        <f t="shared" si="31"/>
        <v>80865.33</v>
      </c>
      <c r="G353" s="3">
        <f t="shared" si="34"/>
        <v>0</v>
      </c>
      <c r="H353" s="3">
        <f t="shared" si="35"/>
        <v>0</v>
      </c>
    </row>
    <row r="354" spans="1:8" x14ac:dyDescent="0.3">
      <c r="A354">
        <v>348</v>
      </c>
      <c r="B354" s="3">
        <f t="shared" si="32"/>
        <v>0</v>
      </c>
      <c r="C354" s="3">
        <f t="shared" si="33"/>
        <v>0</v>
      </c>
      <c r="D354" s="3">
        <f t="shared" si="30"/>
        <v>80865.33</v>
      </c>
      <c r="E354" s="3">
        <v>0</v>
      </c>
      <c r="F354" s="3">
        <f t="shared" si="31"/>
        <v>80865.33</v>
      </c>
      <c r="G354" s="3">
        <f t="shared" si="34"/>
        <v>0</v>
      </c>
      <c r="H354" s="3">
        <f t="shared" si="35"/>
        <v>0</v>
      </c>
    </row>
    <row r="355" spans="1:8" x14ac:dyDescent="0.3">
      <c r="A355">
        <v>349</v>
      </c>
      <c r="B355" s="3">
        <f t="shared" si="32"/>
        <v>0</v>
      </c>
      <c r="C355" s="3">
        <f t="shared" si="33"/>
        <v>0</v>
      </c>
      <c r="D355" s="3">
        <f t="shared" si="30"/>
        <v>80865.33</v>
      </c>
      <c r="E355" s="3">
        <v>0</v>
      </c>
      <c r="F355" s="3">
        <f t="shared" si="31"/>
        <v>80865.33</v>
      </c>
      <c r="G355" s="3">
        <f t="shared" si="34"/>
        <v>0</v>
      </c>
      <c r="H355" s="3">
        <f t="shared" si="35"/>
        <v>0</v>
      </c>
    </row>
    <row r="356" spans="1:8" x14ac:dyDescent="0.3">
      <c r="A356">
        <v>350</v>
      </c>
      <c r="B356" s="3">
        <f t="shared" si="32"/>
        <v>0</v>
      </c>
      <c r="C356" s="3">
        <f t="shared" si="33"/>
        <v>0</v>
      </c>
      <c r="D356" s="3">
        <f t="shared" si="30"/>
        <v>80865.33</v>
      </c>
      <c r="E356" s="3">
        <v>0</v>
      </c>
      <c r="F356" s="3">
        <f t="shared" si="31"/>
        <v>80865.33</v>
      </c>
      <c r="G356" s="3">
        <f t="shared" si="34"/>
        <v>0</v>
      </c>
      <c r="H356" s="3">
        <f t="shared" si="35"/>
        <v>0</v>
      </c>
    </row>
    <row r="357" spans="1:8" x14ac:dyDescent="0.3">
      <c r="A357">
        <v>351</v>
      </c>
      <c r="B357" s="3">
        <f t="shared" si="32"/>
        <v>0</v>
      </c>
      <c r="C357" s="3">
        <f t="shared" si="33"/>
        <v>0</v>
      </c>
      <c r="D357" s="3">
        <f t="shared" si="30"/>
        <v>80865.33</v>
      </c>
      <c r="E357" s="3">
        <v>0</v>
      </c>
      <c r="F357" s="3">
        <f t="shared" si="31"/>
        <v>80865.33</v>
      </c>
      <c r="G357" s="3">
        <f t="shared" si="34"/>
        <v>0</v>
      </c>
      <c r="H357" s="3">
        <f t="shared" si="35"/>
        <v>0</v>
      </c>
    </row>
    <row r="358" spans="1:8" x14ac:dyDescent="0.3">
      <c r="A358">
        <v>352</v>
      </c>
      <c r="B358" s="3">
        <f t="shared" si="32"/>
        <v>0</v>
      </c>
      <c r="C358" s="3">
        <f t="shared" si="33"/>
        <v>0</v>
      </c>
      <c r="D358" s="3">
        <f t="shared" si="30"/>
        <v>80865.33</v>
      </c>
      <c r="E358" s="3">
        <v>0</v>
      </c>
      <c r="F358" s="3">
        <f t="shared" si="31"/>
        <v>80865.33</v>
      </c>
      <c r="G358" s="3">
        <f t="shared" si="34"/>
        <v>0</v>
      </c>
      <c r="H358" s="3">
        <f t="shared" si="35"/>
        <v>0</v>
      </c>
    </row>
    <row r="359" spans="1:8" x14ac:dyDescent="0.3">
      <c r="A359">
        <v>353</v>
      </c>
      <c r="B359" s="3">
        <f t="shared" si="32"/>
        <v>0</v>
      </c>
      <c r="C359" s="3">
        <f t="shared" si="33"/>
        <v>0</v>
      </c>
      <c r="D359" s="3">
        <f t="shared" si="30"/>
        <v>80865.33</v>
      </c>
      <c r="E359" s="3">
        <v>0</v>
      </c>
      <c r="F359" s="3">
        <f t="shared" si="31"/>
        <v>80865.33</v>
      </c>
      <c r="G359" s="3">
        <f t="shared" si="34"/>
        <v>0</v>
      </c>
      <c r="H359" s="3">
        <f t="shared" si="35"/>
        <v>0</v>
      </c>
    </row>
    <row r="360" spans="1:8" x14ac:dyDescent="0.3">
      <c r="A360">
        <v>354</v>
      </c>
      <c r="B360" s="3">
        <f t="shared" si="32"/>
        <v>0</v>
      </c>
      <c r="C360" s="3">
        <f t="shared" si="33"/>
        <v>0</v>
      </c>
      <c r="D360" s="3">
        <f t="shared" si="30"/>
        <v>80865.33</v>
      </c>
      <c r="E360" s="3">
        <v>0</v>
      </c>
      <c r="F360" s="3">
        <f t="shared" si="31"/>
        <v>80865.33</v>
      </c>
      <c r="G360" s="3">
        <f t="shared" si="34"/>
        <v>0</v>
      </c>
      <c r="H360" s="3">
        <f t="shared" si="35"/>
        <v>0</v>
      </c>
    </row>
    <row r="361" spans="1:8" x14ac:dyDescent="0.3">
      <c r="A361">
        <v>355</v>
      </c>
      <c r="B361" s="3">
        <f t="shared" si="32"/>
        <v>0</v>
      </c>
      <c r="C361" s="3">
        <f t="shared" si="33"/>
        <v>0</v>
      </c>
      <c r="D361" s="3">
        <f t="shared" si="30"/>
        <v>80865.33</v>
      </c>
      <c r="E361" s="3">
        <v>0</v>
      </c>
      <c r="F361" s="3">
        <f t="shared" si="31"/>
        <v>80865.33</v>
      </c>
      <c r="G361" s="3">
        <f t="shared" si="34"/>
        <v>0</v>
      </c>
      <c r="H361" s="3">
        <f t="shared" si="35"/>
        <v>0</v>
      </c>
    </row>
    <row r="362" spans="1:8" x14ac:dyDescent="0.3">
      <c r="A362">
        <v>356</v>
      </c>
      <c r="B362" s="3">
        <f t="shared" si="32"/>
        <v>0</v>
      </c>
      <c r="C362" s="3">
        <f t="shared" si="33"/>
        <v>0</v>
      </c>
      <c r="D362" s="3">
        <f t="shared" si="30"/>
        <v>80865.33</v>
      </c>
      <c r="E362" s="3">
        <v>0</v>
      </c>
      <c r="F362" s="3">
        <f t="shared" si="31"/>
        <v>80865.33</v>
      </c>
      <c r="G362" s="3">
        <f t="shared" si="34"/>
        <v>0</v>
      </c>
      <c r="H362" s="3">
        <f t="shared" si="35"/>
        <v>0</v>
      </c>
    </row>
    <row r="363" spans="1:8" x14ac:dyDescent="0.3">
      <c r="A363">
        <v>357</v>
      </c>
      <c r="B363" s="3">
        <f t="shared" si="32"/>
        <v>0</v>
      </c>
      <c r="C363" s="3">
        <f t="shared" si="33"/>
        <v>0</v>
      </c>
      <c r="D363" s="3">
        <f t="shared" si="30"/>
        <v>80865.33</v>
      </c>
      <c r="E363" s="3">
        <v>0</v>
      </c>
      <c r="F363" s="3">
        <f t="shared" si="31"/>
        <v>80865.33</v>
      </c>
      <c r="G363" s="3">
        <f t="shared" si="34"/>
        <v>0</v>
      </c>
      <c r="H363" s="3">
        <f t="shared" si="35"/>
        <v>0</v>
      </c>
    </row>
    <row r="364" spans="1:8" x14ac:dyDescent="0.3">
      <c r="A364">
        <v>358</v>
      </c>
      <c r="B364" s="3">
        <f t="shared" si="32"/>
        <v>0</v>
      </c>
      <c r="C364" s="3">
        <f t="shared" si="33"/>
        <v>0</v>
      </c>
      <c r="D364" s="3">
        <f t="shared" si="30"/>
        <v>80865.33</v>
      </c>
      <c r="E364" s="3">
        <v>0</v>
      </c>
      <c r="F364" s="3">
        <f t="shared" si="31"/>
        <v>80865.33</v>
      </c>
      <c r="G364" s="3">
        <f t="shared" si="34"/>
        <v>0</v>
      </c>
      <c r="H364" s="3">
        <f t="shared" si="35"/>
        <v>0</v>
      </c>
    </row>
    <row r="365" spans="1:8" x14ac:dyDescent="0.3">
      <c r="A365">
        <v>359</v>
      </c>
      <c r="B365" s="3">
        <f t="shared" si="32"/>
        <v>0</v>
      </c>
      <c r="C365" s="3">
        <f t="shared" si="33"/>
        <v>0</v>
      </c>
      <c r="D365" s="3">
        <f t="shared" si="30"/>
        <v>80865.33</v>
      </c>
      <c r="E365" s="3">
        <v>0</v>
      </c>
      <c r="F365" s="3">
        <f t="shared" si="31"/>
        <v>80865.33</v>
      </c>
      <c r="G365" s="3">
        <f t="shared" si="34"/>
        <v>0</v>
      </c>
      <c r="H365" s="3">
        <f t="shared" si="35"/>
        <v>0</v>
      </c>
    </row>
    <row r="366" spans="1:8" x14ac:dyDescent="0.3">
      <c r="A366">
        <v>360</v>
      </c>
      <c r="B366" s="3">
        <f t="shared" si="32"/>
        <v>0</v>
      </c>
      <c r="C366" s="3">
        <f t="shared" si="33"/>
        <v>0</v>
      </c>
      <c r="D366" s="3">
        <f t="shared" si="30"/>
        <v>80865.33</v>
      </c>
      <c r="E366" s="3">
        <v>0</v>
      </c>
      <c r="F366" s="3">
        <f t="shared" si="31"/>
        <v>80865.33</v>
      </c>
      <c r="G366" s="3">
        <f t="shared" si="34"/>
        <v>0</v>
      </c>
      <c r="H366" s="3">
        <f t="shared" si="35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Arvindkumar Yadav</cp:lastModifiedBy>
  <dcterms:created xsi:type="dcterms:W3CDTF">2026-06-09T08:00:28Z</dcterms:created>
  <dcterms:modified xsi:type="dcterms:W3CDTF">2026-06-09T10:19:19Z</dcterms:modified>
</cp:coreProperties>
</file>